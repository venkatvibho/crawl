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WD\"/>
    </mc:Choice>
  </mc:AlternateContent>
  <xr:revisionPtr revIDLastSave="0" documentId="13_ncr:1_{269D804E-A540-4A0C-98DF-179B8E1B5D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49" i="1" l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<sst xmlns="http://schemas.openxmlformats.org/spreadsheetml/2006/main" count="8717" uniqueCount="3061">
  <si>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</si>
  <si>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</si>
  <si>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</si>
  <si>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</si>
  <si>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</si>
  <si>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</si>
  <si>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</si>
  <si>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</si>
  <si>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</si>
  <si>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</si>
  <si>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</si>
  <si>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</si>
  <si>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</si>
  <si>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</si>
  <si>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</si>
  <si>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</si>
  <si>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</si>
  <si>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</si>
  <si>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</si>
  <si>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</si>
  <si>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</si>
  <si>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</si>
  <si>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</si>
  <si>
    <t>WEST BENGAL</t>
  </si>
  <si>
    <t>KULTALI</t>
  </si>
  <si>
    <t>GANESH CHANDRA MONDAL</t>
  </si>
  <si>
    <t>All India Trinamool Congress</t>
  </si>
  <si>
    <t>https://suvidha.eci.gov.in/ac/public/uploads2/candprofile/E32/2026/AC/s25/GANES-2026-20260407074307.jpg</t>
  </si>
  <si>
    <t>SHIBPUR</t>
  </si>
  <si>
    <t>DR. JAGANNATH BHATTACHARYYA</t>
  </si>
  <si>
    <t>All India Forward Bloc</t>
  </si>
  <si>
    <t>https://suvidha.eci.gov.in/ac/public/uploads2/candprofile/E32/2026/AC/s25/JAGAN-2026-20260406064700.jpg</t>
  </si>
  <si>
    <t>NOAPARA</t>
  </si>
  <si>
    <t>ARJUN SINGH</t>
  </si>
  <si>
    <t>Bharatiya Janata Party</t>
  </si>
  <si>
    <t>https://suvidha.eci.gov.in/ac/public/uploads2/candprofile/E32/2026/AC/s25/ARJUN-2026-20260407051523.jpg</t>
  </si>
  <si>
    <t>METIABURUZ</t>
  </si>
  <si>
    <t>ABDUL KHALEQUE MOLLA</t>
  </si>
  <si>
    <t>https://suvidha.eci.gov.in/ac/public/uploads2/candprofile/E32/2026/AC/s25/ABDUL-2026-20260407075149.jpg</t>
  </si>
  <si>
    <t>BIDHANNAGAR</t>
  </si>
  <si>
    <t>RANAJIT MUKHERJEE</t>
  </si>
  <si>
    <t>Indian National Congress</t>
  </si>
  <si>
    <t>https://suvidha.eci.gov.in/ac/public/uploads2/candprofile/E32/2026/AC/s25/RANAJ-2026-20260408082559.jpg</t>
  </si>
  <si>
    <t>JAYNAGAR</t>
  </si>
  <si>
    <t>APURBA PRAMANIK (APU)</t>
  </si>
  <si>
    <t>Communist Party of India (Marxist)</t>
  </si>
  <si>
    <t>https://suvidha.eci.gov.in/ac/public/uploads2/candprofile/E32/2026/AC/s25/APURB-2026-20260407052048.jpg</t>
  </si>
  <si>
    <t>TEHATTA</t>
  </si>
  <si>
    <t>ARABINDA BISWAS</t>
  </si>
  <si>
    <t>Bahujan Samaj Party</t>
  </si>
  <si>
    <t>https://suvidha.eci.gov.in/ac/public/uploads2/candprofile/E32/2026/AC/S25/ARABI-2026-20260407080935.jpg</t>
  </si>
  <si>
    <t>KASBA</t>
  </si>
  <si>
    <t>AHMED JAVED KHAN</t>
  </si>
  <si>
    <t>https://suvidha.eci.gov.in/ac/public/uploads2/candprofile/E32/2026/AC/s25/JAVED-2026-20260408082738.jpg</t>
  </si>
  <si>
    <t>BHATAR</t>
  </si>
  <si>
    <t>KARFA SOUMEN</t>
  </si>
  <si>
    <t>https://suvidha.eci.gov.in/ac/public/uploads2/candprofile/E32/2026/AC/s25/SOUME-2026-20260402042348.jpg</t>
  </si>
  <si>
    <t>KOLKATA PORT</t>
  </si>
  <si>
    <t>AQUIB GULZAR</t>
  </si>
  <si>
    <t>https://suvidha.eci.gov.in/ac/public/uploads2/candprofile/E32/2026/AC/s25/AQUIB-2026-20260407081451.jpg</t>
  </si>
  <si>
    <t>DOMJUR</t>
  </si>
  <si>
    <t>ALOKE KOLEY</t>
  </si>
  <si>
    <t>https://suvidha.eci.gov.in/ac/public/uploads2/candprofile/E32/2026/AC/s25/ALOKE-2026-20260408082855.jpg</t>
  </si>
  <si>
    <t>MAGRAHAT PURBA</t>
  </si>
  <si>
    <t>ATANU HALDER</t>
  </si>
  <si>
    <t>https://suvidha.eci.gov.in/ac/public/uploads2/candprofile/E32/2026/AC/s25/ATANU-2026-20260407052252.jpg</t>
  </si>
  <si>
    <t>ULUBERIA UTTAR</t>
  </si>
  <si>
    <t>ASHOK DALUI</t>
  </si>
  <si>
    <t>https://suvidha.eci.gov.in/ac/public/uploads2/candprofile/E32/2026/AC/s25/ASHOK-2026-20260407052259.jpg</t>
  </si>
  <si>
    <t>HABRA</t>
  </si>
  <si>
    <t>RIJINANDAN BISWAS</t>
  </si>
  <si>
    <t>https://suvidha.eci.gov.in/ac/public/uploads2/candprofile/E32/2026/AC/s25/RIJIN-2026-20260407052308.jpg</t>
  </si>
  <si>
    <t>RASHBEHARI</t>
  </si>
  <si>
    <t>ASHUTOSH CHATTERJEE</t>
  </si>
  <si>
    <t>https://suvidha.eci.gov.in/ac/public/uploads2/candprofile/E32/2026/AC/s25/ASHUT-2026-20260408083146.jpg</t>
  </si>
  <si>
    <t>BISHNUPUR</t>
  </si>
  <si>
    <t>ABHIJIT SARDAR</t>
  </si>
  <si>
    <t>https://suvidha.eci.gov.in/ac/public/uploads2/candprofile/E32/2026/AC/s25/ABHIJ-2026-20260407052422.jpg</t>
  </si>
  <si>
    <t>MONTESWAR</t>
  </si>
  <si>
    <t>ANUPAM GHOSH</t>
  </si>
  <si>
    <t>https://suvidha.eci.gov.in/ac/public/uploads2/candprofile/E32/2026/AC/s25/ANUPA-2026-20260406041441.jpg</t>
  </si>
  <si>
    <t>SONARPUR UTTAR</t>
  </si>
  <si>
    <t>JAGANNATH KUMIR</t>
  </si>
  <si>
    <t>https://suvidha.eci.gov.in/ac/public/uploads2/candprofile/E32/2026/AC/s25/JAGAN-2026-20260406060354.jpg</t>
  </si>
  <si>
    <t>RAJARHAT NEW TOWN</t>
  </si>
  <si>
    <t>PIYUSH KANODIA</t>
  </si>
  <si>
    <t>https://suvidha.eci.gov.in/ac/public/uploads2/candprofile/E32/2026/AC/s25/PIYUS-2026-20260407083113.jpg</t>
  </si>
  <si>
    <t>HOWRAH MADHYA</t>
  </si>
  <si>
    <t>APARNA BOSE</t>
  </si>
  <si>
    <t>https://suvidha.eci.gov.in/ac/public/uploads2/candprofile/E32/2026/AC/s25/APARN-2026-20260407052527.jpg</t>
  </si>
  <si>
    <t>BALLY</t>
  </si>
  <si>
    <t>PUTUL CHOWDHURY</t>
  </si>
  <si>
    <t>Socialist Unity Centre Of India (COMMUNIST)</t>
  </si>
  <si>
    <t>https://suvidha.eci.gov.in/ac/public/uploads2/candprofile/E32/2026/AC/S25/PUTUL-2026-20260409121148.jpg</t>
  </si>
  <si>
    <t>BUDGE BUDGE</t>
  </si>
  <si>
    <t>ASHOK KUMAR DEB</t>
  </si>
  <si>
    <t>https://suvidha.eci.gov.in/ac/public/uploads2/candprofile/E32/2026/AC/S25/ASHOK-2026-20260407053232.jpg</t>
  </si>
  <si>
    <t>UDAYNARAYANPUR</t>
  </si>
  <si>
    <t>ASIT BAKULY</t>
  </si>
  <si>
    <t>https://suvidha.eci.gov.in/ac/public/uploads2/candprofile/E32/2026/AC/s25/ASITB-2026-20260409105428.jpg</t>
  </si>
  <si>
    <t>KASHIPUR-BELGACHHIA</t>
  </si>
  <si>
    <t>ATIN GHOSH</t>
  </si>
  <si>
    <t>https://suvidha.eci.gov.in/ac/public/uploads2/candprofile/E32/2026/AC/s25/ATING-2026-20260408084357.jpg</t>
  </si>
  <si>
    <t>PALASHIPARA</t>
  </si>
  <si>
    <t>ANIMA DUTTA</t>
  </si>
  <si>
    <t>https://suvidha.eci.gov.in/ac/public/uploads2/candprofile/E32/2026/AC/S25/ANIMA-2026-20260414041510.jpg</t>
  </si>
  <si>
    <t>SINGUR</t>
  </si>
  <si>
    <t>ARUP KUMAR DAS</t>
  </si>
  <si>
    <t>https://suvidha.eci.gov.in/ac/public/uploads2/candprofile/E32/2026/AC/S25/ARUPK-2026-20260413055154.jpg</t>
  </si>
  <si>
    <t>MANIKTALA</t>
  </si>
  <si>
    <t>SANJAY PRAJAPATI</t>
  </si>
  <si>
    <t>https://suvidha.eci.gov.in/ac/public/uploads2/candprofile/E32/2026/AC/s25/SANJA-2026-20260407094457.jpg</t>
  </si>
  <si>
    <t>BALLYGUNGE</t>
  </si>
  <si>
    <t>AFREEN BEGUM</t>
  </si>
  <si>
    <t>https://suvidha.eci.gov.in/ac/public/uploads2/candprofile/E32/2026/AC/S25/AFREE-2026-20260410043838.jpg</t>
  </si>
  <si>
    <t>SWARUPNAGAR</t>
  </si>
  <si>
    <t>TARAK SAHA</t>
  </si>
  <si>
    <t>https://suvidha.eci.gov.in/ac/public/uploads2/candprofile/E32/2026/AC/s25/TARAK-2026-20260406054240.jpg</t>
  </si>
  <si>
    <t>SAPTAGRAM</t>
  </si>
  <si>
    <t>ANIRBAN SARKAR</t>
  </si>
  <si>
    <t>https://suvidha.eci.gov.in/ac/public/uploads2/candprofile/E32/2026/AC/s25/ANIRB-2026-20260404060431.jpg</t>
  </si>
  <si>
    <t>MADHYAMGRAM</t>
  </si>
  <si>
    <t>ANANTA RAY</t>
  </si>
  <si>
    <t>https://suvidha.eci.gov.in/ac/public/uploads2/candprofile/E32/2026/AC/s25/ANANT-2026-20260408061628.jpg</t>
  </si>
  <si>
    <t>BASANTI</t>
  </si>
  <si>
    <t>GOPINATH NAIYA</t>
  </si>
  <si>
    <t>https://suvidha.eci.gov.in/ac/public/uploads2/candprofile/E32/2026/AC/s25/GOPIN-2026-20260408085931.jpg</t>
  </si>
  <si>
    <t>HOWRAH DAKSHIN</t>
  </si>
  <si>
    <t>ABHIJIT BANERJEE</t>
  </si>
  <si>
    <t>https://suvidha.eci.gov.in/ac/public/uploads2/candprofile/E32/2026/AC/s25/ABHIJ-2026-20260406065110.jpg</t>
  </si>
  <si>
    <t>KAKDWIP</t>
  </si>
  <si>
    <t>DIPANKAR JANA</t>
  </si>
  <si>
    <t>https://suvidha.eci.gov.in/ac/public/uploads2/candprofile/E32/2026/AC/s25/DIPAN-2026-20260406045132.jpg</t>
  </si>
  <si>
    <t>HINGALGANJ</t>
  </si>
  <si>
    <t>ANANDA SARKAR</t>
  </si>
  <si>
    <t>https://suvidha.eci.gov.in/ac/public/uploads2/candprofile/E32/2026/AC/S25/ANAND-2026-20260406064512.jpg</t>
  </si>
  <si>
    <t>BEHALA PASCHIM</t>
  </si>
  <si>
    <t>ADARSHA ROY</t>
  </si>
  <si>
    <t>https://suvidha.eci.gov.in/ac/public/uploads2/candprofile/E32/2026/AC/s25/ADARS-2026-20260408091754.jpg</t>
  </si>
  <si>
    <t>ULUBERIA PURBA</t>
  </si>
  <si>
    <t>ALAM DEIYAN SEKH</t>
  </si>
  <si>
    <t>https://suvidha.eci.gov.in/ac/public/uploads2/candprofile/E32/2026/AC/s25/ALAMD-2026-20260406060758.jpg</t>
  </si>
  <si>
    <t>BANGAON UTTAR</t>
  </si>
  <si>
    <t>ASHOK KIRTANIA</t>
  </si>
  <si>
    <t>https://suvidha.eci.gov.in/ac/public/uploads2/candprofile/E32/2026/AC/s25/ASHOK-2026-20260406045258.jpg</t>
  </si>
  <si>
    <t>CANNING PASCHIM</t>
  </si>
  <si>
    <t>PARESH RAM DAS</t>
  </si>
  <si>
    <t>https://suvidha.eci.gov.in/ac/public/uploads2/candprofile/E32/2026/AC/s25/PARES-2026-20260407021928.jpg</t>
  </si>
  <si>
    <t>HARIPAL</t>
  </si>
  <si>
    <t>AZAD SAIF</t>
  </si>
  <si>
    <t>https://suvidha.eci.gov.in/ac/public/uploads2/candprofile/E32/2026/AC/s25/SAIFA-2026-20260407022229.jpg</t>
  </si>
  <si>
    <t>ARAMBAG</t>
  </si>
  <si>
    <t>KAJALLATA KUNDU</t>
  </si>
  <si>
    <t>https://suvidha.eci.gov.in/ac/public/uploads2/candprofile/E32/2026/AC/s25/KAJAL-2026-20260409064754.jpg</t>
  </si>
  <si>
    <t>ASHOKNAGAR</t>
  </si>
  <si>
    <t>ANGSHUMAN ROY</t>
  </si>
  <si>
    <t>https://suvidha.eci.gov.in/ac/public/uploads2/candprofile/E32/2026/AC/s25/ANGSH-2026-20260407022327.jpg</t>
  </si>
  <si>
    <t>BHABANIPUR</t>
  </si>
  <si>
    <t>ADHIKARI SUVENDU</t>
  </si>
  <si>
    <t>https://suvidha.eci.gov.in/ac/public/uploads2/candprofile/E32/2026/AC/s25/SUVEN-2026-20260402072422.jpg</t>
  </si>
  <si>
    <t>BASIRHAT UTTAR</t>
  </si>
  <si>
    <t>KOUSHIK SIDHARTHA</t>
  </si>
  <si>
    <t>https://suvidha.eci.gov.in/ac/public/uploads2/candprofile/E32/2026/AC/s25/KOUSH-2026-20260408093558.jpg</t>
  </si>
  <si>
    <t>DIAMOND HARBOUR</t>
  </si>
  <si>
    <t>GOUTAM BHATTACHARYA</t>
  </si>
  <si>
    <t>https://suvidha.eci.gov.in/ac/public/uploads2/candprofile/E32/2026/AC/s25/GOUTA-2026-20260407054742.jpg</t>
  </si>
  <si>
    <t>SATGACHHIA</t>
  </si>
  <si>
    <t>AGNISWAR NASKAR</t>
  </si>
  <si>
    <t>https://suvidha.eci.gov.in/ac/public/uploads2/candprofile/E32/2026/AC/s25/AGNIS-2026-20260408063048.jpg</t>
  </si>
  <si>
    <t>AMDANGA</t>
  </si>
  <si>
    <t>ARINDAM DEY</t>
  </si>
  <si>
    <t>https://suvidha.eci.gov.in/ac/public/uploads2/candprofile/E32/2026/AC/S25/ARIND-2026-20260409062823.jpg</t>
  </si>
  <si>
    <t>PANDUA</t>
  </si>
  <si>
    <t>AMJAD HOSSAIN SK</t>
  </si>
  <si>
    <t>https://suvidha.eci.gov.in/ac/public/uploads2/candprofile/E32/2026/AC/S25/SKAMJ-2026-20260406025137.jpg</t>
  </si>
  <si>
    <t>KALIGANJ</t>
  </si>
  <si>
    <t>ALIFA AHMED</t>
  </si>
  <si>
    <t>https://suvidha.eci.gov.in/ac/public/uploads2/candprofile/E32/2026/AC/s25/ALIFA-2026-20260407025548.jpg</t>
  </si>
  <si>
    <t>FALTA</t>
  </si>
  <si>
    <t>ABDUR RAZZAK MOLLA</t>
  </si>
  <si>
    <t>https://suvidha.eci.gov.in/ac/public/uploads2/candprofile/E32/2026/AC/s25/ABDUR-2026-20260407054944.jpg</t>
  </si>
  <si>
    <t>JADAVPUR</t>
  </si>
  <si>
    <t>DEBABRATA MAJUMDAR (MALAY)</t>
  </si>
  <si>
    <t>https://suvidha.eci.gov.in/ac/public/uploads2/candprofile/E32/2026/AC/s25/DEBAB-2026-20260408095515.jpg</t>
  </si>
  <si>
    <t>RAINA</t>
  </si>
  <si>
    <t>PAMPA MALIK</t>
  </si>
  <si>
    <t>https://suvidha.eci.gov.in/ac/public/uploads2/candprofile/E32/2026/AC/s25/PAMPA-2026-20260409115717.jpg</t>
  </si>
  <si>
    <t>HARINGHATA</t>
  </si>
  <si>
    <t>ASIM KUMAR SARKAR</t>
  </si>
  <si>
    <t>https://suvidha.eci.gov.in/ac/public/uploads2/candprofile/E32/2026/AC/s25/ASHIM-2026-20260407054951.jpg</t>
  </si>
  <si>
    <t>BASIRHAT DAKSHIN</t>
  </si>
  <si>
    <t>ABU ESAHAK GAZI</t>
  </si>
  <si>
    <t>https://suvidha.eci.gov.in/ac/public/uploads2/candprofile/E32/2026/AC/s25/ABUIS-2026-20260408032253.jpg</t>
  </si>
  <si>
    <t>AMTA</t>
  </si>
  <si>
    <t>AMIT SAMANTA</t>
  </si>
  <si>
    <t>https://suvidha.eci.gov.in/ac/public/uploads2/candprofile/E32/2026/AC/s25/AMITS-2026-20260408100008.jpg</t>
  </si>
  <si>
    <t>KAMARHATI</t>
  </si>
  <si>
    <t>ARUP CHOUDHURY (PULAK)</t>
  </si>
  <si>
    <t>https://suvidha.eci.gov.in/ac/public/uploads2/candprofile/E32/2026/AC/s25/ARUPC-2026-20260406011601.jpg</t>
  </si>
  <si>
    <t>BIJPUR</t>
  </si>
  <si>
    <t>DEBASISH RAKSHIT</t>
  </si>
  <si>
    <t>https://suvidha.eci.gov.in/ac/public/uploads2/candprofile/E32/2026/AC/S25/DEBAS-2026-20260407063456.jpg</t>
  </si>
  <si>
    <t>KARIMPUR</t>
  </si>
  <si>
    <t>JITENDRANATH HALDER</t>
  </si>
  <si>
    <t>https://suvidha.eci.gov.in/ac/public/uploads2/candprofile/E32/2026/AC/S25/JITEN-2026-20260410070651.jpg</t>
  </si>
  <si>
    <t>CHANDITALA</t>
  </si>
  <si>
    <t>ABU ABBAS UDDIN SK.</t>
  </si>
  <si>
    <t>https://suvidha.eci.gov.in/ac/public/uploads2/candprofile/E32/2026/AC/s25/ABUAB-2026-20260408033431.jpg</t>
  </si>
  <si>
    <t>SANDESHKHALI</t>
  </si>
  <si>
    <t>JHARNA SARDAR</t>
  </si>
  <si>
    <t>https://suvidha.eci.gov.in/ac/public/uploads2/candprofile/E32/2026/AC/s25/JHARN-2026-20260407055402.jpg</t>
  </si>
  <si>
    <t>CHAKDAHA</t>
  </si>
  <si>
    <t>NARAYAN DAS GUPTA</t>
  </si>
  <si>
    <t>https://suvidha.eci.gov.in/ac/public/uploads2/candprofile/E32/2026/AC/s25/NARAY-2026-20260404063923.jpg</t>
  </si>
  <si>
    <t>BARDHAMAN UTTAR</t>
  </si>
  <si>
    <t>NISITH KUMAR MALIK</t>
  </si>
  <si>
    <t>https://suvidha.eci.gov.in/ac/public/uploads2/candprofile/E32/2026/AC/s25/NISIT-2026-20260408034121.jpg</t>
  </si>
  <si>
    <t>NAKASHIPARA</t>
  </si>
  <si>
    <t>KALLOL KHAN</t>
  </si>
  <si>
    <t>https://suvidha.eci.gov.in/ac/public/uploads2/candprofile/E32/2026/AC/s25/KALLO-2026-20260407032342.jpg</t>
  </si>
  <si>
    <t>SAGAR</t>
  </si>
  <si>
    <t>ANUKUL PATRA</t>
  </si>
  <si>
    <t>https://suvidha.eci.gov.in/ac/public/uploads2/candprofile/E32/2026/AC/S25/ANUKU-2026-20260413081510.jpg</t>
  </si>
  <si>
    <t>CHANDANNAGAR</t>
  </si>
  <si>
    <t>Indranil Sen</t>
  </si>
  <si>
    <t>https://suvidha.eci.gov.in/ac/public/uploads2/candprofile/E32/2026/AC/s25/Indra-2026-20260406042556.jpg</t>
  </si>
  <si>
    <t>ULUBERIA DAKSHIN</t>
  </si>
  <si>
    <t>AMIRUL ISLAM KHAN</t>
  </si>
  <si>
    <t>https://suvidha.eci.gov.in/ac/public/uploads2/candprofile/E32/2026/AC/s25/AMIRU-2026-20260407032744.jpg</t>
  </si>
  <si>
    <t>BANGAON DAKSHIN</t>
  </si>
  <si>
    <t>ASISH KUMAR SARKAR</t>
  </si>
  <si>
    <t>https://suvidha.eci.gov.in/ac/public/uploads2/candprofile/E32/2026/AC/S25/ASISH-2026-20260413035209.jpg</t>
  </si>
  <si>
    <t>MINAKHAN</t>
  </si>
  <si>
    <t>USHA RANI MONDAL</t>
  </si>
  <si>
    <t>https://suvidha.eci.gov.in/ac/public/uploads2/candprofile/E32/2026/AC/S25/USHAR-2026-20260409063233.jpg</t>
  </si>
  <si>
    <t>JANGIPARA</t>
  </si>
  <si>
    <t>PROSENJIT BAG</t>
  </si>
  <si>
    <t>https://suvidha.eci.gov.in/ac/public/uploads2/candprofile/E32/2026/AC/s25/PROSE-2026-20260407060002.jpg</t>
  </si>
  <si>
    <t>CANNING PURBA</t>
  </si>
  <si>
    <t>ASHIM SANPUI</t>
  </si>
  <si>
    <t>https://suvidha.eci.gov.in/ac/public/uploads2/candprofile/E32/2026/AC/s25/ASHIM-2026-20260406071856.jpg</t>
  </si>
  <si>
    <t>UTTARPARA</t>
  </si>
  <si>
    <t>DIPANJAN CHAKRABORTY</t>
  </si>
  <si>
    <t>https://suvidha.eci.gov.in/ac/public/uploads2/candprofile/E32/2026/AC/s25/DIPAN-2026-20260407060405.jpg</t>
  </si>
  <si>
    <t>PURSURAH</t>
  </si>
  <si>
    <t>PARTHA HAZARI</t>
  </si>
  <si>
    <t>https://suvidha.eci.gov.in/ac/public/uploads2/candprofile/E32/2026/AC/s25/PARTH-2026-20260408065946.jpg</t>
  </si>
  <si>
    <t>SHYAMPUKUR</t>
  </si>
  <si>
    <t>JHUMA DAS</t>
  </si>
  <si>
    <t>https://suvidha.eci.gov.in/ac/public/uploads2/candprofile/E32/2026/AC/S25/JHUMA-2026-20260410115850.jpg</t>
  </si>
  <si>
    <t>SREERAMPUR</t>
  </si>
  <si>
    <t>TANMOY GHOSH</t>
  </si>
  <si>
    <t>https://suvidha.eci.gov.in/ac/public/uploads2/candprofile/E32/2026/AC/s25/TANMO-2026-20260406042751.jpg</t>
  </si>
  <si>
    <t>BAGDA</t>
  </si>
  <si>
    <t>KIRTTANIYA PRABIR (BAPI)</t>
  </si>
  <si>
    <t>https://suvidha.eci.gov.in/ac/public/uploads2/candprofile/E32/2026/AC/S25/PRABI-2026-20260409011115.jpg</t>
  </si>
  <si>
    <t>SANKRAIL</t>
  </si>
  <si>
    <t>PRIYA PAUL</t>
  </si>
  <si>
    <t>https://suvidha.eci.gov.in/ac/public/uploads2/candprofile/E32/2026/AC/s25/PRIYA-2026-20260406061253.jpg</t>
  </si>
  <si>
    <t>DUM DUM UTTAR</t>
  </si>
  <si>
    <t>CHANDRIMA BHATTACHARYA</t>
  </si>
  <si>
    <t>https://suvidha.eci.gov.in/ac/public/uploads2/candprofile/E32/2026/AC/s25/CHAND-2026-20260404051228.jpg</t>
  </si>
  <si>
    <t>MAHESHTALA</t>
  </si>
  <si>
    <t>ABDUL HANNAN SK</t>
  </si>
  <si>
    <t>https://suvidha.eci.gov.in/ac/public/uploads2/candprofile/E32/2026/AC/s25/ABDUL-2026-20260409092247.jpg</t>
  </si>
  <si>
    <t>SONARPUR DAKSHIN</t>
  </si>
  <si>
    <t>ARUNDHUTI MAITRA(LOVELY)</t>
  </si>
  <si>
    <t>https://suvidha.eci.gov.in/ac/public/uploads2/candprofile/E32/2026/AC/S25/ARUND-2026-20260408045742.jpg</t>
  </si>
  <si>
    <t>BADURIA</t>
  </si>
  <si>
    <t>ABDUR RAHIM QUAZI</t>
  </si>
  <si>
    <t>https://suvidha.eci.gov.in/ac/public/uploads2/candprofile/E32/2026/AC/s25/QUAZI-2026-20260408042251.jpg</t>
  </si>
  <si>
    <t>BALAGARH</t>
  </si>
  <si>
    <t>ASHOK BISWAS</t>
  </si>
  <si>
    <t>https://suvidha.eci.gov.in/ac/public/uploads2/candprofile/E32/2026/AC/S25/ASHOK-2026-20260410042540.jpg</t>
  </si>
  <si>
    <t>RAIDIGHI</t>
  </si>
  <si>
    <t>ASISH KUMAR MANDAL</t>
  </si>
  <si>
    <t>https://suvidha.eci.gov.in/ac/public/uploads2/candprofile/E32/2026/AC/s25/ASISH-2026-20260407040712.jpg</t>
  </si>
  <si>
    <t>RAJARHAT  GOPALPUR</t>
  </si>
  <si>
    <t>ADITI MUNSHI</t>
  </si>
  <si>
    <t>https://suvidha.eci.gov.in/ac/public/uploads2/candprofile/E32/2026/AC/s25/ADITI-2026-20260408042459.jpg</t>
  </si>
  <si>
    <t>RANAGHAT DAKSHIN</t>
  </si>
  <si>
    <t>ARINDAM BISWAS</t>
  </si>
  <si>
    <t>https://suvidha.eci.gov.in/ac/public/uploads2/candprofile/E32/2026/AC/s25/ARIND-2026-20260407041056.jpg</t>
  </si>
  <si>
    <t>JAGATDAL</t>
  </si>
  <si>
    <t>KANIKA PATRA</t>
  </si>
  <si>
    <t>https://suvidha.eci.gov.in/ac/public/uploads2/candprofile/E32/2026/AC/s25/KANIK-2026-20260409025708.jpg</t>
  </si>
  <si>
    <t>PURBASTHALI DAKSHIN</t>
  </si>
  <si>
    <t>PRAN KRISHNA TAPADAR</t>
  </si>
  <si>
    <t>https://suvidha.eci.gov.in/ac/public/uploads2/candprofile/E32/2026/AC/s25/PRANK-2026-20260407062104.jpg</t>
  </si>
  <si>
    <t>GOSABA</t>
  </si>
  <si>
    <t>BIKARNA NASKAR</t>
  </si>
  <si>
    <t>https://suvidha.eci.gov.in/ac/public/uploads2/candprofile/E32/2026/AC/s25/BIKAR-2026-20260406055043.jpg</t>
  </si>
  <si>
    <t>BARDHAMAN DAKSHIN</t>
  </si>
  <si>
    <t>KHOKAN DAS</t>
  </si>
  <si>
    <t>https://suvidha.eci.gov.in/ac/public/uploads2/candprofile/E32/2026/AC/s25/KHOKA-2026-20260408043225.jpg</t>
  </si>
  <si>
    <t>JAGATBALLAVPUR</t>
  </si>
  <si>
    <t>https://suvidha.eci.gov.in/ac/public/uploads2/candprofile/E32/2026/AC/s25/ANUPA-2026-20260407062554.jpg</t>
  </si>
  <si>
    <t>NABADWIP</t>
  </si>
  <si>
    <t>TAPAS DAS</t>
  </si>
  <si>
    <t>https://suvidha.eci.gov.in/ac/public/uploads2/candprofile/E32/2026/AC/s25/TAPAS-2026-20260407041843.jpg</t>
  </si>
  <si>
    <t>CHUNCHURA</t>
  </si>
  <si>
    <t>DEBANGSHU BHATTACHARYA</t>
  </si>
  <si>
    <t>https://suvidha.eci.gov.in/ac/public/uploads2/candprofile/E32/2026/AC/s25/DEBAN-2026-20260407062835.jpg</t>
  </si>
  <si>
    <t>DUM DUM</t>
  </si>
  <si>
    <t>ARIJIT BAKSHI</t>
  </si>
  <si>
    <t>https://suvidha.eci.gov.in/ac/public/uploads2/candprofile/E32/2026/AC/s25/ARIJI-2026-20260406055147.jpg</t>
  </si>
  <si>
    <t>KRISHNAGANJ</t>
  </si>
  <si>
    <t>ARCHANA BISWAS</t>
  </si>
  <si>
    <t>https://suvidha.eci.gov.in/ac/public/uploads2/candprofile/E32/2026/AC/s25/ARCHA-2026-20260407063314.jpg</t>
  </si>
  <si>
    <t>DEGANGA</t>
  </si>
  <si>
    <t>ANISUR RAHAMAN BIDESH</t>
  </si>
  <si>
    <t>https://suvidha.eci.gov.in/ac/public/uploads2/candprofile/E32/2026/AC/S25/ANISU-2026-20260407124734.jpg</t>
  </si>
  <si>
    <t>KHANAKUL</t>
  </si>
  <si>
    <t>CHAYANA KHAN</t>
  </si>
  <si>
    <t>https://suvidha.eci.gov.in/ac/public/uploads2/candprofile/E32/2026/AC/S25/CHAYA-2026-20260413052227.jpg</t>
  </si>
  <si>
    <t>KATWA</t>
  </si>
  <si>
    <t>KALIPADA GAIN</t>
  </si>
  <si>
    <t>https://suvidha.eci.gov.in/ac/public/uploads2/candprofile/E32/2026/AC/s25/KALIP-2026-20260409072458.jpg</t>
  </si>
  <si>
    <t>AUSGRAM</t>
  </si>
  <si>
    <t>KALITA MAJI</t>
  </si>
  <si>
    <t>https://suvidha.eci.gov.in/ac/public/uploads2/candprofile/E32/2026/AC/s25/KALIT-2026-20260407042954.jpg</t>
  </si>
  <si>
    <t>KALYANI</t>
  </si>
  <si>
    <t>DR. ATINDRA NATH MONDAL</t>
  </si>
  <si>
    <t>https://suvidha.eci.gov.in/ac/public/uploads2/candprofile/E32/2026/AC/s25/ATIND-2026-20260406043208.jpg</t>
  </si>
  <si>
    <t>BAGNAN</t>
  </si>
  <si>
    <t>ARUNAVA SEN</t>
  </si>
  <si>
    <t>https://suvidha.eci.gov.in/ac/public/uploads2/candprofile/E32/2026/AC/S25/ARUNA-2026-20260406105750.jpg</t>
  </si>
  <si>
    <t>BARASAT</t>
  </si>
  <si>
    <t>TARAK MUKHERJEE</t>
  </si>
  <si>
    <t>https://suvidha.eci.gov.in/ac/public/uploads2/candprofile/E32/2026/AC/S25/TARAK-2026-20260406054226.jpg</t>
  </si>
  <si>
    <t>PANCHLA</t>
  </si>
  <si>
    <t>GULSAN MULLICK</t>
  </si>
  <si>
    <t>https://suvidha.eci.gov.in/ac/public/uploads2/candprofile/E32/2026/AC/S25/GULSA-2026-20260406084927.jpg</t>
  </si>
  <si>
    <t>MANDIRBAZAR</t>
  </si>
  <si>
    <t>CHAND SARADER</t>
  </si>
  <si>
    <t>https://suvidha.eci.gov.in/ac/public/uploads2/candprofile/E32/2026/AC/s25/CHAND-2026-20260409094014.jpg</t>
  </si>
  <si>
    <t>KHARDAHA</t>
  </si>
  <si>
    <t>KALYAN CHAKRABORTI</t>
  </si>
  <si>
    <t>https://suvidha.eci.gov.in/ac/public/uploads2/candprofile/E32/2026/AC/s25/KALYA-2026-20260406035657.jpg</t>
  </si>
  <si>
    <t>GOGHAT</t>
  </si>
  <si>
    <t>DR. NIRMAL MAJI</t>
  </si>
  <si>
    <t>https://suvidha.eci.gov.in/ac/public/uploads2/candprofile/E32/2026/AC/s25/NIRMA-2026-20260406061722.jpg</t>
  </si>
  <si>
    <t>BHATPARA</t>
  </si>
  <si>
    <t>AMIT GUPTA</t>
  </si>
  <si>
    <t>https://suvidha.eci.gov.in/ac/public/uploads2/candprofile/E32/2026/AC/s25/AMITG-2026-20260408050212.jpg</t>
  </si>
  <si>
    <t>BEHALA PURBA</t>
  </si>
  <si>
    <t>ABHIJIT RAHA</t>
  </si>
  <si>
    <t>https://suvidha.eci.gov.in/ac/public/uploads2/candprofile/E32/2026/AC/s25/ABHIJ-2026-20260406061724.jpg</t>
  </si>
  <si>
    <t>HAROA</t>
  </si>
  <si>
    <t>ABDUL MATIN MUHAMMAD</t>
  </si>
  <si>
    <t>https://suvidha.eci.gov.in/ac/public/uploads2/candprofile/E32/2026/AC/s25/MUHAM-2026-20260407064621.jpg</t>
  </si>
  <si>
    <t>RANAGHAT UTTAR PASCHIM</t>
  </si>
  <si>
    <t>TAPAS KUMAR GHOSH</t>
  </si>
  <si>
    <t>https://suvidha.eci.gov.in/ac/public/uploads2/candprofile/E32/2026/AC/s25/TAPAS-2026-20260407064647.jpg</t>
  </si>
  <si>
    <t>KRISHNANAGAR UTTAR</t>
  </si>
  <si>
    <t>ADWAITA BISWAS</t>
  </si>
  <si>
    <t>https://suvidha.eci.gov.in/ac/public/uploads2/candprofile/E32/2026/AC/S25/ADWAI-2026-20260407070806.jpg</t>
  </si>
  <si>
    <t>MANGALKOT</t>
  </si>
  <si>
    <t>APURBA CHOWDHURY (ACHAL)</t>
  </si>
  <si>
    <t>https://suvidha.eci.gov.in/ac/public/uploads2/candprofile/E32/2026/AC/s25/APURB-2026-20260408073437.jpg</t>
  </si>
  <si>
    <t>DHANEKHALI</t>
  </si>
  <si>
    <t>ASIMA PATRA</t>
  </si>
  <si>
    <t>https://suvidha.eci.gov.in/ac/public/uploads2/candprofile/E32/2026/AC/s25/ASIMA-2026-20260402040816.jpg</t>
  </si>
  <si>
    <t>ENTALLY</t>
  </si>
  <si>
    <t>ABDUL RAUF</t>
  </si>
  <si>
    <t>https://suvidha.eci.gov.in/ac/public/uploads2/candprofile/E32/2026/AC/s25/ABDUL-2026-20260407065232.jpg</t>
  </si>
  <si>
    <t>GALSI</t>
  </si>
  <si>
    <t>ALOK KUMAR MAJHI</t>
  </si>
  <si>
    <t>https://suvidha.eci.gov.in/ac/public/uploads2/candprofile/E32/2026/AC/s25/ALOKK-2026-20260408073654.jpg</t>
  </si>
  <si>
    <t>PANIHATI</t>
  </si>
  <si>
    <t>KALATAN DASGUPTA</t>
  </si>
  <si>
    <t>https://suvidha.eci.gov.in/ac/public/uploads2/candprofile/E32/2026/AC/s25/KALAT-2026-20260407044822.jpg</t>
  </si>
  <si>
    <t>BARUIPUR PURBA</t>
  </si>
  <si>
    <t>TUMPA SARDAR</t>
  </si>
  <si>
    <t>https://suvidha.eci.gov.in/ac/public/uploads2/candprofile/E32/2026/AC/s25/TUMPA-2026-20260407044940.jpg</t>
  </si>
  <si>
    <t>CHAPRA</t>
  </si>
  <si>
    <t>ASIF KHAN</t>
  </si>
  <si>
    <t>https://suvidha.eci.gov.in/ac/public/uploads2/candprofile/E32/2026/AC/s25/ASIFK-2026-20260409051920.jpg</t>
  </si>
  <si>
    <t>PURBASTHALI UTTAR</t>
  </si>
  <si>
    <t>AMITAVA BHATTACHARYA</t>
  </si>
  <si>
    <t>https://suvidha.eci.gov.in/ac/public/uploads2/candprofile/E32/2026/AC/s25/AMITA-2026-20260408074232.jpg</t>
  </si>
  <si>
    <t>TARAKESWAR</t>
  </si>
  <si>
    <t>ADESH KHAMRUI</t>
  </si>
  <si>
    <t>https://suvidha.eci.gov.in/ac/public/uploads2/candprofile/E32/2026/AC/S25/ADESH-2026-20260404081749.jpg</t>
  </si>
  <si>
    <t>KULPI</t>
  </si>
  <si>
    <t>ABANI NASKAR</t>
  </si>
  <si>
    <t>https://suvidha.eci.gov.in/ac/public/uploads2/candprofile/E32/2026/AC/s25/ABANI-2026-20260407045230.jpg</t>
  </si>
  <si>
    <t>KRISHNANAGAR DAKSHIN</t>
  </si>
  <si>
    <t>ABDUR RAHIM SHAIKH</t>
  </si>
  <si>
    <t>https://suvidha.eci.gov.in/ac/public/uploads2/candprofile/E32/2026/AC/s25/ABDUR-2026-20260408051645.jpg</t>
  </si>
  <si>
    <t>JORASANKO</t>
  </si>
  <si>
    <t>BHARATRAM TEWARI</t>
  </si>
  <si>
    <t>https://suvidha.eci.gov.in/ac/public/uploads2/candprofile/E32/2026/AC/S25/BHARA-2026-20260412061900.jpg</t>
  </si>
  <si>
    <t>KALNA</t>
  </si>
  <si>
    <t>AMAL KUMAR SAHA</t>
  </si>
  <si>
    <t>https://suvidha.eci.gov.in/ac/public/uploads2/candprofile/E32/2026/AC/s25/AMALK-2026-20260407070017.jpg</t>
  </si>
  <si>
    <t>NAIHATI</t>
  </si>
  <si>
    <t>DEBJIT MUKHERJEE</t>
  </si>
  <si>
    <t>https://suvidha.eci.gov.in/ac/public/uploads2/candprofile/E32/2026/AC/S25/DEBJI-2026-20260408052725.jpg</t>
  </si>
  <si>
    <t>BARANAGAR</t>
  </si>
  <si>
    <t>KALYANI CHAKRABORTY</t>
  </si>
  <si>
    <t>https://suvidha.eci.gov.in/ac/public/uploads2/candprofile/E32/2026/AC/s25/KALYA-2026-20260407070617.jpg</t>
  </si>
  <si>
    <t>BELEGHATA</t>
  </si>
  <si>
    <t>KUNAL KUMAR GHOSH</t>
  </si>
  <si>
    <t>https://suvidha.eci.gov.in/ac/public/uploads2/candprofile/E32/2026/AC/S25/KUNAL-2026-20260406055146.jpg</t>
  </si>
  <si>
    <t>CHAMPDANI</t>
  </si>
  <si>
    <t>ARINDAM GUIN (BUBAI)</t>
  </si>
  <si>
    <t>https://suvidha.eci.gov.in/ac/public/uploads2/candprofile/E32/2026/AC/s25/ARIND-2026-20260406031416.jpg</t>
  </si>
  <si>
    <t>BHANGAR</t>
  </si>
  <si>
    <t>JAYANTA GAYEN</t>
  </si>
  <si>
    <t>https://suvidha.eci.gov.in/ac/public/uploads2/candprofile/E32/2026/AC/s25/JAYAN-2026-20260407070753.jpg</t>
  </si>
  <si>
    <t>CHOWRANGEE</t>
  </si>
  <si>
    <t>BANDYOPADHYAY NAYNA</t>
  </si>
  <si>
    <t>https://suvidha.eci.gov.in/ac/public/uploads2/candprofile/E32/2026/AC/S25/NAYNA-2026-20260408054953.jpg</t>
  </si>
  <si>
    <t>MAGRAHAT PASCHIM</t>
  </si>
  <si>
    <t>ABDUL MAJID HALDER</t>
  </si>
  <si>
    <t>https://suvidha.eci.gov.in/ac/public/uploads2/candprofile/E32/2026/AC/s25/ABDUL-2026-20260408075426.jpg</t>
  </si>
  <si>
    <t>JAMALPUR</t>
  </si>
  <si>
    <t>ARUN HALDER</t>
  </si>
  <si>
    <t>https://suvidha.eci.gov.in/ac/public/uploads2/candprofile/E32/2026/AC/s25/ARUNH-2026-20260406043934.jpg</t>
  </si>
  <si>
    <t>MEMARI</t>
  </si>
  <si>
    <t>KRISHANU BHADRA</t>
  </si>
  <si>
    <t>https://suvidha.eci.gov.in/ac/public/uploads2/candprofile/E32/2026/AC/S25/KRISH-2026-20260406021416.jpg</t>
  </si>
  <si>
    <t>GAIGHATA</t>
  </si>
  <si>
    <t>ANIL KUMAR PANDEY</t>
  </si>
  <si>
    <t>https://suvidha.eci.gov.in/ac/public/uploads2/candprofile/E32/2026/AC/S25/ANILK-2026-20260408053554.jpg</t>
  </si>
  <si>
    <t>RANAGHAT UTTAR PURBA</t>
  </si>
  <si>
    <t>ASHIM BISWAS</t>
  </si>
  <si>
    <t>https://suvidha.eci.gov.in/ac/public/uploads2/candprofile/E32/2026/AC/s25/ASHIM-2026-20260408080016.jpg</t>
  </si>
  <si>
    <t>BARUIPUR PASCHIM</t>
  </si>
  <si>
    <t>AMULYA KUMAR SARDAR</t>
  </si>
  <si>
    <t>https://suvidha.eci.gov.in/ac/public/uploads2/candprofile/E32/2026/AC/S25/AMULY-2026-20260410065323.jpg</t>
  </si>
  <si>
    <t>SANTIPUR</t>
  </si>
  <si>
    <t>ALOK CHATTERJEE</t>
  </si>
  <si>
    <t>https://suvidha.eci.gov.in/ac/public/uploads2/candprofile/E32/2026/AC/s25/ALOKC-2026-20260407071718.jpg</t>
  </si>
  <si>
    <t>SHYAMPUR</t>
  </si>
  <si>
    <t>ASIT BARAN SAU</t>
  </si>
  <si>
    <t>https://suvidha.eci.gov.in/ac/public/uploads2/candprofile/E32/2026/AC/S25/ASITB-2026-20260408081709.jpg</t>
  </si>
  <si>
    <t>HOWRAH UTTAR</t>
  </si>
  <si>
    <t>UMESH RAI</t>
  </si>
  <si>
    <t>https://suvidha.eci.gov.in/ac/public/uploads2/candprofile/E32/2026/AC/s25/UMESH-2026-20260407051136.jpg</t>
  </si>
  <si>
    <t>BARRACKPUR</t>
  </si>
  <si>
    <t>KAUSTUV BAGCHI</t>
  </si>
  <si>
    <t>https://suvidha.eci.gov.in/ac/public/uploads2/candprofile/E32/2026/AC/s25/KAUST-2026-20260407073802.jpg</t>
  </si>
  <si>
    <t>KETUGRAM</t>
  </si>
  <si>
    <t>ANADI GHOSH</t>
  </si>
  <si>
    <t>https://suvidha.eci.gov.in/ac/public/uploads2/candprofile/E32/2026/AC/S25/ANADI-2026-20260409050340.jpg</t>
  </si>
  <si>
    <t>PATHARPRATIMA</t>
  </si>
  <si>
    <t>ASIT KUMAR HALDAR</t>
  </si>
  <si>
    <t>https://suvidha.eci.gov.in/ac/public/uploads2/candprofile/E32/2026/AC/s25/ASITK-2026-20260406040839.jpg</t>
  </si>
  <si>
    <t>TOLLYGANJ</t>
  </si>
  <si>
    <t>AMAL DHALI</t>
  </si>
  <si>
    <t>https://suvidha.eci.gov.in/ac/public/uploads2/candprofile/E32/2026/AC/s25/AMALD-2026-20260407051156.jpg</t>
  </si>
  <si>
    <t>KHANDAGHOSH</t>
  </si>
  <si>
    <t>ANUP KUMAR SAHA</t>
  </si>
  <si>
    <t>https://suvidha.eci.gov.in/ac/public/uploads2/candprofile/E32/2026/AC/s25/ANUPK-2026-20260408053729.jpg</t>
  </si>
  <si>
    <t>ASHIM KUMAR BISWAS</t>
  </si>
  <si>
    <t>https://suvidha.eci.gov.in/ac/public/uploads2/candprofile/E32/2026/AC/S25/ASHIM-2026-20260406073605.jpg</t>
  </si>
  <si>
    <t>SUBHASIS DUTTA</t>
  </si>
  <si>
    <t>https://suvidha.eci.gov.in/ac/public/uploads2/candprofile/E32/2026/AC/S25/SUBHA-2026-20260409054710.jpg</t>
  </si>
  <si>
    <t>DEBASISH DHAR</t>
  </si>
  <si>
    <t>https://suvidha.eci.gov.in/ac/public/uploads2/candprofile/E32/2026/AC/s25/DEBAS-2026-20260407051658.jpg</t>
  </si>
  <si>
    <t>TAHIR SEKH</t>
  </si>
  <si>
    <t>https://suvidha.eci.gov.in/ac/public/uploads2/candprofile/E32/2026/AC/s25/TAHIR-2026-20260408054137.jpg</t>
  </si>
  <si>
    <t>PRADIP KUMAR KUNDU</t>
  </si>
  <si>
    <t>https://suvidha.eci.gov.in/ac/public/uploads2/candprofile/E32/2026/AC/S25/PRADI-2026-20260406052204.jpg</t>
  </si>
  <si>
    <t>KALLOL MUKHERJEE</t>
  </si>
  <si>
    <t>https://suvidha.eci.gov.in/ac/public/uploads2/candprofile/E32/2026/AC/S25/KALLO-2026-20260408022311.jpg</t>
  </si>
  <si>
    <t>ASOKE BHATTACHARYA</t>
  </si>
  <si>
    <t>https://suvidha.eci.gov.in/ac/public/uploads2/candprofile/E32/2026/AC/s25/ASOKE-2026-20260408054326.jpg</t>
  </si>
  <si>
    <t>KARABI MANNA</t>
  </si>
  <si>
    <t>https://suvidha.eci.gov.in/ac/public/uploads2/candprofile/E32/2026/AC/s25/KARAB-2026-20260406023543.jpg</t>
  </si>
  <si>
    <t>YUDHISTHIR BHUMIJ</t>
  </si>
  <si>
    <t>https://suvidha.eci.gov.in/ac/public/uploads2/candprofile/E32/2026/AC/S25/YUDHI-2026-20260407123331.jpg</t>
  </si>
  <si>
    <t>BIR BAHADUR SINGH</t>
  </si>
  <si>
    <t>https://suvidha.eci.gov.in/ac/public/uploads2/candprofile/E32/2026/AC/s25/BIRBA-2026-20260407075815.jpg</t>
  </si>
  <si>
    <t>DR. INDRANIL KHAN</t>
  </si>
  <si>
    <t>https://suvidha.eci.gov.in/ac/public/uploads2/candprofile/E32/2026/AC/s25/INDRA-2026-20260407080046.jpg</t>
  </si>
  <si>
    <t>OM PRAKASH JAISWAL</t>
  </si>
  <si>
    <t>https://suvidha.eci.gov.in/ac/public/uploads2/candprofile/E32/2026/AC/s25/OMPRA-2026-20260408054712.jpg</t>
  </si>
  <si>
    <t>MADHABI MAHALDER</t>
  </si>
  <si>
    <t>https://suvidha.eci.gov.in/ac/public/uploads2/candprofile/E32/2026/AC/s25/MADHA-2026-20260407080820.jpg</t>
  </si>
  <si>
    <t>NILIMA MISTRY BISHAL</t>
  </si>
  <si>
    <t>https://suvidha.eci.gov.in/ac/public/uploads2/candprofile/E32/2026/AC/s25/NILIM-2026-20260407052204.jpg</t>
  </si>
  <si>
    <t>TAPAN TUDU</t>
  </si>
  <si>
    <t>https://suvidha.eci.gov.in/ac/public/uploads2/candprofile/E32/2026/AC/s25/TAPAN-2026-20260407081848.jpg</t>
  </si>
  <si>
    <t>Prasanta Bayen</t>
  </si>
  <si>
    <t>https://suvidha.eci.gov.in/ac/public/uploads2/candprofile/E32/2026/AC/s25/Prasa-2026-20260406032357.jpg</t>
  </si>
  <si>
    <t>BAG MITA</t>
  </si>
  <si>
    <t>https://suvidha.eci.gov.in/ac/public/uploads2/candprofile/E32/2026/AC/S25/BAGMI-2026-20260410054556.jpg</t>
  </si>
  <si>
    <t>BHASKAR KUMAR MONDAL</t>
  </si>
  <si>
    <t>https://suvidha.eci.gov.in/ac/public/uploads2/candprofile/E32/2026/AC/S25/BHASK-2026-20260410072319.jpg</t>
  </si>
  <si>
    <t>SARAT CHANDRA BISWAS</t>
  </si>
  <si>
    <t>https://suvidha.eci.gov.in/ac/public/uploads2/candprofile/E32/2026/AC/S25/SARAT-2026-20260409014128.jpg</t>
  </si>
  <si>
    <t>PALASH KUMAR ROY</t>
  </si>
  <si>
    <t>https://suvidha.eci.gov.in/ac/public/uploads2/candprofile/E32/2026/AC/S25/PALAS-2026-20260410063029.jpg</t>
  </si>
  <si>
    <t>SHRREYA PANDE</t>
  </si>
  <si>
    <t>https://suvidha.eci.gov.in/ac/public/uploads2/candprofile/E32/2026/AC/s25/SHRRE-2026-20260406073350.jpg</t>
  </si>
  <si>
    <t>KUTUB UDDIN MOLLA</t>
  </si>
  <si>
    <t>https://suvidha.eci.gov.in/ac/public/uploads2/candprofile/E32/2026/AC/s25/KUTUB-2026-20260407052434.jpg</t>
  </si>
  <si>
    <t>DEBANSHU PURKAIT</t>
  </si>
  <si>
    <t>https://suvidha.eci.gov.in/ac/public/uploads2/candprofile/E32/2026/AC/s25/DEBAN-2026-20260404050215.jpg</t>
  </si>
  <si>
    <t>TARUN KANTI GHOSH</t>
  </si>
  <si>
    <t>https://suvidha.eci.gov.in/ac/public/uploads2/candprofile/E32/2026/AC/S25/TARUN-2026-20260407121934.jpg</t>
  </si>
  <si>
    <t>UJJAL BISWAS</t>
  </si>
  <si>
    <t>https://suvidha.eci.gov.in/ac/public/uploads2/candprofile/E32/2026/AC/s25/UJJAL-2026-20260407052923.jpg</t>
  </si>
  <si>
    <t>MD. TAUSEFFUR RAHMAN</t>
  </si>
  <si>
    <t>https://suvidha.eci.gov.in/ac/public/uploads2/candprofile/E32/2026/AC/s25/MDTA-2026-20260407091141.jpg</t>
  </si>
  <si>
    <t>CHANCHAL KUMAR MAJHI</t>
  </si>
  <si>
    <t>https://suvidha.eci.gov.in/ac/public/uploads2/candprofile/E32/2026/AC/s25/CHANC-2026-20260406015438.jpg</t>
  </si>
  <si>
    <t>KONER SHANTANU</t>
  </si>
  <si>
    <t>https://suvidha.eci.gov.in/ac/public/uploads2/candprofile/E32/2026/AC/s25/SHANT-2026-20260408060621.jpg</t>
  </si>
  <si>
    <t>FARID MOLLAH</t>
  </si>
  <si>
    <t>https://suvidha.eci.gov.in/ac/public/uploads2/candprofile/E32/2026/AC/s25/FARID-2026-20260406090529.jpg</t>
  </si>
  <si>
    <t>FAJLUR RAHAMAN SEKH</t>
  </si>
  <si>
    <t>https://suvidha.eci.gov.in/ac/public/uploads2/candprofile/E32/2026/AC/S25/FAJLU-2026-20260414041336.jpg</t>
  </si>
  <si>
    <t>ASIMA MONDAL</t>
  </si>
  <si>
    <t>https://suvidha.eci.gov.in/ac/public/uploads2/candprofile/E32/2026/AC/s25/ASIMA-2026-20260409063203.jpg</t>
  </si>
  <si>
    <t>TARAKESWAR HAWLADER</t>
  </si>
  <si>
    <t>https://suvidha.eci.gov.in/ac/public/uploads2/candprofile/E32/2026/AC/s25/TARAK-2026-20260402060955.jpg</t>
  </si>
  <si>
    <t>ALOKE HALDER</t>
  </si>
  <si>
    <t>https://suvidha.eci.gov.in/ac/public/uploads2/candprofile/E32/2026/AC/s25/ALOKE-2026-20260407053950.jpg</t>
  </si>
  <si>
    <t>BIKASH GOLDER</t>
  </si>
  <si>
    <t>https://suvidha.eci.gov.in/ac/public/uploads2/candprofile/E32/2026/AC/S25/BIKAS-2026-20260410042800.jpg</t>
  </si>
  <si>
    <t>RAJ CHAKRABORTY (RAJU)</t>
  </si>
  <si>
    <t>https://suvidha.eci.gov.in/ac/public/uploads2/candprofile/E32/2026/AC/s25/RAJUC-2026-20260408085803.jpg</t>
  </si>
  <si>
    <t>MANOTOSH MONDAL</t>
  </si>
  <si>
    <t>https://suvidha.eci.gov.in/ac/public/uploads2/candprofile/E32/2026/AC/s25/MANOT-2026-20260409063728.jpg</t>
  </si>
  <si>
    <t>KAMALENDU BALA</t>
  </si>
  <si>
    <t>https://suvidha.eci.gov.in/ac/public/uploads2/candprofile/E32/2026/AC/s25/KAMAL-2026-20260406060709.jpg</t>
  </si>
  <si>
    <t>RUDRENDRA PATRA</t>
  </si>
  <si>
    <t>https://suvidha.eci.gov.in/ac/public/uploads2/candprofile/E32/2026/AC/S25/RUDRE-2026-20260409063211.jpg</t>
  </si>
  <si>
    <t>NARAYAN DAS</t>
  </si>
  <si>
    <t>https://suvidha.eci.gov.in/ac/public/uploads2/candprofile/E32/2026/AC/s25/NARAY-2026-20260402033452.jpg</t>
  </si>
  <si>
    <t>JAHANGIR KHAN</t>
  </si>
  <si>
    <t>https://suvidha.eci.gov.in/ac/public/uploads2/candprofile/E32/2026/AC/s25/JAHAN-2026-20260402060250.jpg</t>
  </si>
  <si>
    <t>TUSAR KUMAR MAJUMDAR</t>
  </si>
  <si>
    <t>https://suvidha.eci.gov.in/ac/public/uploads2/candprofile/E32/2026/AC/s25/TUSAR-2026-20260406042055.jpg</t>
  </si>
  <si>
    <t>POOJA PARAJITA ROY CHOUDHURY</t>
  </si>
  <si>
    <t>https://suvidha.eci.gov.in/ac/public/uploads2/candprofile/E32/2026/AC/s25/POOJA-2026-20260408062311.jpg</t>
  </si>
  <si>
    <t>https://suvidha.eci.gov.in/ac/public/uploads2/candprofile/E32/2026/AC/s25/KHOKA-2026-20260409064654.jpg</t>
  </si>
  <si>
    <t>SAJAL GHOSH</t>
  </si>
  <si>
    <t>https://suvidha.eci.gov.in/ac/public/uploads2/candprofile/E32/2026/AC/s25/SAJAL-2026-20260406060805.jpg</t>
  </si>
  <si>
    <t>PURNA GHOSH</t>
  </si>
  <si>
    <t>https://suvidha.eci.gov.in/ac/public/uploads2/candprofile/E32/2026/AC/S25/PURNA-2026-20260410115719.jpg</t>
  </si>
  <si>
    <t>BIDESH RANJAN BOSE</t>
  </si>
  <si>
    <t>https://suvidha.eci.gov.in/ac/public/uploads2/candprofile/E32/2026/AC/S25/BIDES-2026-20260408045316.jpg</t>
  </si>
  <si>
    <t>PROFULLA KUMAR ROY</t>
  </si>
  <si>
    <t>https://suvidha.eci.gov.in/ac/public/uploads2/candprofile/E32/2026/AC/S25/PROFU-2026-20260408031329.jpg</t>
  </si>
  <si>
    <t>RITUPARNA ADDHYA</t>
  </si>
  <si>
    <t>https://suvidha.eci.gov.in/ac/public/uploads2/candprofile/E32/2026/AC/S25/RITUP-2026-20260413035429.jpg</t>
  </si>
  <si>
    <t>KOUSHIK ROY</t>
  </si>
  <si>
    <t>https://suvidha.eci.gov.in/ac/public/uploads2/candprofile/E32/2026/AC/s25/KOUSH-2026-20260408063255.jpg</t>
  </si>
  <si>
    <t>MANDIRA DALUI</t>
  </si>
  <si>
    <t>https://suvidha.eci.gov.in/ac/public/uploads2/candprofile/E32/2026/AC/s25/MANDI-2026-20260408030023.jpg</t>
  </si>
  <si>
    <t>BRATYABRATA BASU</t>
  </si>
  <si>
    <t>https://suvidha.eci.gov.in/ac/public/uploads2/candprofile/E32/2026/AC/s25/BRATY-2026-20260408030544.jpg</t>
  </si>
  <si>
    <t>PUNDARIKAKSHYA SAHA</t>
  </si>
  <si>
    <t>https://suvidha.eci.gov.in/ac/public/uploads2/candprofile/E32/2026/AC/s25/PUNDA-2026-20260407025559.jpg</t>
  </si>
  <si>
    <t>APURBALAL BISWAS</t>
  </si>
  <si>
    <t>https://suvidha.eci.gov.in/ac/public/uploads2/candprofile/E32/2026/AC/s25/APURB-2026-20260407055151.jpg</t>
  </si>
  <si>
    <t>PROBHAKAR PANDIT</t>
  </si>
  <si>
    <t>https://suvidha.eci.gov.in/ac/public/uploads2/candprofile/E32/2026/AC/s25/PROBH-2026-20260408063957.jpg</t>
  </si>
  <si>
    <t>DR TARUN KUMAR ADAK</t>
  </si>
  <si>
    <t>https://suvidha.eci.gov.in/ac/public/uploads2/candprofile/E32/2026/AC/S25/TARUN-2026-20260410035816.jpg</t>
  </si>
  <si>
    <t>PRASANTA KHUTIA</t>
  </si>
  <si>
    <t>https://suvidha.eci.gov.in/ac/public/uploads2/candprofile/E32/2026/AC/s25/PRASA-2026-20260408064106.jpg</t>
  </si>
  <si>
    <t>DEEPSHIKHA BHOWMICK</t>
  </si>
  <si>
    <t>https://suvidha.eci.gov.in/ac/public/uploads2/candprofile/E32/2026/AC/s25/DEEPS-2026-20260408064140.jpg</t>
  </si>
  <si>
    <t>SAPTARSHI DEB</t>
  </si>
  <si>
    <t>https://suvidha.eci.gov.in/ac/public/uploads2/candprofile/E32/2026/AC/s25/SAPTA-2026-20260408064322.jpg</t>
  </si>
  <si>
    <t>KALYANI HALDAR</t>
  </si>
  <si>
    <t>https://suvidha.eci.gov.in/ac/public/uploads2/candprofile/E32/2026/AC/s25/KALYA-2026-20260407055625.jpg</t>
  </si>
  <si>
    <t>GAURHARI PATRA</t>
  </si>
  <si>
    <t>https://suvidha.eci.gov.in/ac/public/uploads2/candprofile/E32/2026/AC/s25/GAURH-2026-20260408034646.jpg</t>
  </si>
  <si>
    <t>RITABRATA BANERJEE</t>
  </si>
  <si>
    <t>https://suvidha.eci.gov.in/ac/public/uploads2/candprofile/E32/2026/AC/s25/RITAB-2026-20260408064341.jpg</t>
  </si>
  <si>
    <t>GOURSUNDAR GHOSH</t>
  </si>
  <si>
    <t>https://suvidha.eci.gov.in/ac/public/uploads2/candprofile/E32/2026/AC/s25/GOURS-2026-20260407055642.jpg</t>
  </si>
  <si>
    <t>BARNALI DHALI NASKAR</t>
  </si>
  <si>
    <t>https://suvidha.eci.gov.in/ac/public/uploads2/candprofile/E32/2026/AC/s25/BARNA-2026-20260407032033.jpg</t>
  </si>
  <si>
    <t>DEBO PRASAD BAG (POLTU)</t>
  </si>
  <si>
    <t>https://suvidha.eci.gov.in/ac/public/uploads2/candprofile/E32/2026/AC/s25/DEBOP-2026-20260408035944.jpg</t>
  </si>
  <si>
    <t>DAYA RAM JAISWARA</t>
  </si>
  <si>
    <t>https://suvidha.eci.gov.in/ac/public/uploads2/candprofile/E32/2026/AC/s25/DAYAR-2026-20260409091400.jpg</t>
  </si>
  <si>
    <t>DEBASHIS CHATTERJEE</t>
  </si>
  <si>
    <t>https://suvidha.eci.gov.in/ac/public/uploads2/candprofile/E32/2026/AC/s25/DEBAS-2026-20260404025027.jpg</t>
  </si>
  <si>
    <t>TARUNJYOTI TEWARI</t>
  </si>
  <si>
    <t>https://suvidha.eci.gov.in/ac/public/uploads2/candprofile/E32/2026/AC/s25/TARUN-2026-20260406042554.jpg</t>
  </si>
  <si>
    <t>AROOP BISWAS</t>
  </si>
  <si>
    <t>https://suvidha.eci.gov.in/ac/public/uploads2/candprofile/E32/2026/AC/s25/AROOP-2026-20260408040030.jpg</t>
  </si>
  <si>
    <t>SUSMITA PRADHAN</t>
  </si>
  <si>
    <t>https://suvidha.eci.gov.in/ac/public/uploads2/candprofile/E32/2026/AC/S25/SUSMI-2026-20260409050207.jpg</t>
  </si>
  <si>
    <t>DEBASISH  CHAKRABORTY(DEBU)</t>
  </si>
  <si>
    <t>https://suvidha.eci.gov.in/ac/public/uploads2/candprofile/E32/2026/AC/s25/DEBAS-2026-20260407055851.jpg</t>
  </si>
  <si>
    <t>ARGHYA NASKAR</t>
  </si>
  <si>
    <t>https://suvidha.eci.gov.in/ac/public/uploads2/candprofile/E32/2026/AC/s25/ARGHA-2026-20260408040217.jpg</t>
  </si>
  <si>
    <t>UTTAM KUMAR BANIK</t>
  </si>
  <si>
    <t>https://suvidha.eci.gov.in/ac/public/uploads2/candprofile/E32/2026/AC/s25/UTTAM-2026-20260408040231.jpg</t>
  </si>
  <si>
    <t>TIRTHANKAR GHOSH</t>
  </si>
  <si>
    <t>https://suvidha.eci.gov.in/ac/public/uploads2/candprofile/E32/2026/AC/s25/TIRTH-2026-20260406061209.jpg</t>
  </si>
  <si>
    <t>PRABIR GANGULI</t>
  </si>
  <si>
    <t>https://suvidha.eci.gov.in/ac/public/uploads2/candprofile/E32/2026/AC/s25/PRABI-2026-20260408040320.jpg</t>
  </si>
  <si>
    <t>BHUPAL CHANDRA DAS</t>
  </si>
  <si>
    <t>https://suvidha.eci.gov.in/ac/public/uploads2/candprofile/E32/2026/AC/s25/BHUPA-2026-20260408064915.jpg</t>
  </si>
  <si>
    <t>BAPAN GHOSH</t>
  </si>
  <si>
    <t>https://suvidha.eci.gov.in/ac/public/uploads2/candprofile/E32/2026/AC/s25/BAPAN-2026-20260406045654.jpg</t>
  </si>
  <si>
    <t>KRISHNA GHOSH</t>
  </si>
  <si>
    <t>https://suvidha.eci.gov.in/ac/public/uploads2/candprofile/E32/2026/AC/s25/KRISH-2026-20260407060627.jpg</t>
  </si>
  <si>
    <t>GOBINDA HAZRA</t>
  </si>
  <si>
    <t>https://suvidha.eci.gov.in/ac/public/uploads2/candprofile/E32/2026/AC/s25/GOBIN-2026-20260407060631.jpg</t>
  </si>
  <si>
    <t>BISWAJIT ROY</t>
  </si>
  <si>
    <t>https://suvidha.eci.gov.in/ac/public/uploads2/candprofile/E32/2026/AC/s25/BISWA-2026-20260408041103.jpg</t>
  </si>
  <si>
    <t>JEBER SEKH</t>
  </si>
  <si>
    <t>https://suvidha.eci.gov.in/ac/public/uploads2/candprofile/E32/2026/AC/s25/JEBER-2026-20260407035041.jpg</t>
  </si>
  <si>
    <t>JYOTI KUMARI DAS</t>
  </si>
  <si>
    <t>https://suvidha.eci.gov.in/ac/public/uploads2/candprofile/E32/2026/AC/S25/JYOTI-2026-20260410023644.jpg</t>
  </si>
  <si>
    <t>BANERJEE SANDIP</t>
  </si>
  <si>
    <t>https://suvidha.eci.gov.in/ac/public/uploads2/candprofile/E32/2026/AC/s25/SANDI-2026-20260404054406.jpg</t>
  </si>
  <si>
    <t>BECHARAM DAS</t>
  </si>
  <si>
    <t>https://suvidha.eci.gov.in/ac/public/uploads2/candprofile/E32/2026/AC/s25/BECHA-2026-20260409071329.jpg</t>
  </si>
  <si>
    <t>BIKASHRANJAN BHATTACHARYA</t>
  </si>
  <si>
    <t>https://suvidha.eci.gov.in/ac/public/uploads2/candprofile/E32/2026/AC/s25/BIKAS-2026-20260406084948.jpg</t>
  </si>
  <si>
    <t>JAGADISH DUTTA</t>
  </si>
  <si>
    <t>https://suvidha.eci.gov.in/ac/public/uploads2/candprofile/E32/2026/AC/S25/JAGAD-2026-20260408071400.jpg</t>
  </si>
  <si>
    <t>MAMATA BANERJEE</t>
  </si>
  <si>
    <t>https://suvidha.eci.gov.in/ac/public/uploads2/candprofile/E32/2026/AC/s25/MAMAT-2026-20260408070833.jpg</t>
  </si>
  <si>
    <t>PARVEZ AHMAD KHAN</t>
  </si>
  <si>
    <t>https://suvidha.eci.gov.in/ac/public/uploads2/candprofile/E32/2026/AC/s25/PARVE-2026-20260407040519.jpg</t>
  </si>
  <si>
    <t>INTAJ ALI SHAH</t>
  </si>
  <si>
    <t>https://suvidha.eci.gov.in/ac/public/uploads2/candprofile/E32/2026/AC/S25/INTAJ-2026-20260410032421.jpg</t>
  </si>
  <si>
    <t>ANINDYA BANERJEE</t>
  </si>
  <si>
    <t>https://suvidha.eci.gov.in/ac/public/uploads2/candprofile/E32/2026/AC/s25/ANIND-2026-20260408071119.jpg</t>
  </si>
  <si>
    <t>NAROTTAM BISWAS</t>
  </si>
  <si>
    <t>https://suvidha.eci.gov.in/ac/public/uploads2/candprofile/E32/2026/AC/s25/NAROT-2026-20260408042526.jpg</t>
  </si>
  <si>
    <t>ARUP ROY</t>
  </si>
  <si>
    <t>https://suvidha.eci.gov.in/ac/public/uploads2/candprofile/E32/2026/AC/s25/ARUPR-2026-20260406045917.jpg</t>
  </si>
  <si>
    <t>PRAMANSHU RANA</t>
  </si>
  <si>
    <t>https://suvidha.eci.gov.in/ac/public/uploads2/candprofile/E32/2026/AC/s25/PRAMA-2026-20260408071223.jpg</t>
  </si>
  <si>
    <t>KISHOR BISWAS</t>
  </si>
  <si>
    <t>https://suvidha.eci.gov.in/ac/public/uploads2/candprofile/E32/2026/AC/s25/KISHO-2026-20260404051503.jpg</t>
  </si>
  <si>
    <t>MD BAHARUL ISLAM</t>
  </si>
  <si>
    <t>https://suvidha.eci.gov.in/ac/public/uploads2/candprofile/E32/2026/AC/s25/MDBAH-2026-20260407041911.jpg</t>
  </si>
  <si>
    <t>NITYA GOPAL MONDAL</t>
  </si>
  <si>
    <t>https://suvidha.eci.gov.in/ac/public/uploads2/candprofile/E32/2026/AC/s25/NITYA-2026-20260408071942.jpg</t>
  </si>
  <si>
    <t>BIMAN GHOSH</t>
  </si>
  <si>
    <t>https://suvidha.eci.gov.in/ac/public/uploads2/candprofile/E32/2026/AC/S25/BIMAN-2026-20260410040203.jpg</t>
  </si>
  <si>
    <t>PRASANTA DIGAR</t>
  </si>
  <si>
    <t>https://suvidha.eci.gov.in/ac/public/uploads2/candprofile/E32/2026/AC/s25/PRASA-2026-20260402063140.jpg</t>
  </si>
  <si>
    <t>GOURAB SAMADDAR</t>
  </si>
  <si>
    <t>https://suvidha.eci.gov.in/ac/public/uploads2/candprofile/E32/2026/AC/s25/GOURA-2026-20260407042653.jpg</t>
  </si>
  <si>
    <t>DIPSITA DHAR</t>
  </si>
  <si>
    <t>https://suvidha.eci.gov.in/ac/public/uploads2/candprofile/E32/2026/AC/s25/DIPSI-2026-20260407042806.jpg</t>
  </si>
  <si>
    <t>MAHABUBUL ISLAM</t>
  </si>
  <si>
    <t>https://suvidha.eci.gov.in/ac/public/uploads2/candprofile/E32/2026/AC/s25/MAHAB-2026-20260406043132.jpg</t>
  </si>
  <si>
    <t>MOHAMMAD KASEM SIDDIQUE</t>
  </si>
  <si>
    <t>https://suvidha.eci.gov.in/ac/public/uploads2/candprofile/E32/2026/AC/S25/MOHAM-2026-20260410022819.jpg</t>
  </si>
  <si>
    <t>DR NILAY MAJUMDAR</t>
  </si>
  <si>
    <t>https://suvidha.eci.gov.in/ac/public/uploads2/candprofile/E32/2026/AC/s25/DRNIL-2026-20260406055210.jpg</t>
  </si>
  <si>
    <t>KASHIF REZA</t>
  </si>
  <si>
    <t>https://suvidha.eci.gov.in/ac/public/uploads2/candprofile/E32/2026/AC/s25/KASHI-2026-20260407063819.jpg</t>
  </si>
  <si>
    <t>NABANITA CHAKRABORTY</t>
  </si>
  <si>
    <t>https://suvidha.eci.gov.in/ac/public/uploads2/candprofile/E32/2026/AC/S25/NABAN-2026-20260404055920.jpg</t>
  </si>
  <si>
    <t>MAMONI MONDAL (ROY)</t>
  </si>
  <si>
    <t>https://suvidha.eci.gov.in/ac/public/uploads2/candprofile/E32/2026/AC/s25/MAMON-2026-20260406052924.jpg</t>
  </si>
  <si>
    <t>AMIRUL GAZI</t>
  </si>
  <si>
    <t>https://suvidha.eci.gov.in/ac/public/uploads2/candprofile/E32/2026/AC/s25/AMIRU-2026-20260409094521.jpg</t>
  </si>
  <si>
    <t>GOPAL CHATTOPADHYAY</t>
  </si>
  <si>
    <t>https://suvidha.eci.gov.in/ac/public/uploads2/candprofile/E32/2026/AC/s25/GOPAL-2026-20260407064824.jpg</t>
  </si>
  <si>
    <t>Deepanjan Kumar Guha</t>
  </si>
  <si>
    <t>https://suvidha.eci.gov.in/ac/public/uploads2/candprofile/E32/2026/AC/s25/Deepa-2026-20260407044218.jpg</t>
  </si>
  <si>
    <t>ANUPAM BISWAS</t>
  </si>
  <si>
    <t>https://suvidha.eci.gov.in/ac/public/uploads2/candprofile/E32/2026/AC/s25/ANUPA-2026-20260407064946.jpg</t>
  </si>
  <si>
    <t>BISWAJIT  MONDAL</t>
  </si>
  <si>
    <t>https://suvidha.eci.gov.in/ac/public/uploads2/candprofile/E32/2026/AC/s25/BISWA-2026-20260407044305.jpg</t>
  </si>
  <si>
    <t>ASIT LAL NAG</t>
  </si>
  <si>
    <t>https://suvidha.eci.gov.in/ac/public/uploads2/candprofile/E32/2026/AC/s25/ASITL-2026-20260407065102.jpg</t>
  </si>
  <si>
    <t>JAYDEB GHOSH</t>
  </si>
  <si>
    <t>https://suvidha.eci.gov.in/ac/public/uploads2/candprofile/E32/2026/AC/s25/JAYDE-2026-20260406061820.jpg</t>
  </si>
  <si>
    <t>GOPAL DAS</t>
  </si>
  <si>
    <t>https://suvidha.eci.gov.in/ac/public/uploads2/candprofile/E32/2026/AC/s25/GOPAL-2026-20260409074614.jpg</t>
  </si>
  <si>
    <t>JOYDEB HALDER S/O - KARTICK CHANDRA HALDER</t>
  </si>
  <si>
    <t>https://suvidha.eci.gov.in/ac/public/uploads2/candprofile/E32/2026/AC/s25/JOYDE-2026-20260406031101.jpg</t>
  </si>
  <si>
    <t>CHANDRANATH BANERJEE</t>
  </si>
  <si>
    <t>https://suvidha.eci.gov.in/ac/public/uploads2/candprofile/E32/2026/AC/s25/CHAND-2026-20260404040638.jpg</t>
  </si>
  <si>
    <t>BANKIM CHANDRA GHOSH</t>
  </si>
  <si>
    <t>https://suvidha.eci.gov.in/ac/public/uploads2/candprofile/E32/2026/AC/s25/BANKI-2026-20260407065427.jpg</t>
  </si>
  <si>
    <t>GOUTAM MALO</t>
  </si>
  <si>
    <t>https://suvidha.eci.gov.in/ac/public/uploads2/candprofile/E32/2026/AC/S25/GOUTA-2026-20260407070500.jpg</t>
  </si>
  <si>
    <t>ARGHYA GON</t>
  </si>
  <si>
    <t>https://suvidha.eci.gov.in/ac/public/uploads2/candprofile/E32/2026/AC/s25/ARGHY-2026-20260408051606.jpg</t>
  </si>
  <si>
    <t>BIPLAB BISWAS</t>
  </si>
  <si>
    <t>https://suvidha.eci.gov.in/ac/public/uploads2/candprofile/E32/2026/AC/s25/BIPLA-2026-20260408074343.jpg</t>
  </si>
  <si>
    <t>BIMALESH KUMAR HELA</t>
  </si>
  <si>
    <t>https://suvidha.eci.gov.in/ac/public/uploads2/candprofile/E32/2026/AC/s25/BIMAL-2026-20260409053051.jpg</t>
  </si>
  <si>
    <t>FAIYAZ AHMAD KHAN</t>
  </si>
  <si>
    <t>https://suvidha.eci.gov.in/ac/public/uploads2/candprofile/E32/2026/AC/s25/FAIYA-2026-20260406085718.jpg</t>
  </si>
  <si>
    <t>DIPAK KUMAR HALDER</t>
  </si>
  <si>
    <t>https://suvidha.eci.gov.in/ac/public/uploads2/candprofile/E32/2026/AC/s25/DIPAK-2026-20260408074421.jpg</t>
  </si>
  <si>
    <t>DULAL BISWAS</t>
  </si>
  <si>
    <t>https://suvidha.eci.gov.in/ac/public/uploads2/candprofile/E32/2026/AC/s25/DULAL-2026-20260407065950.jpg</t>
  </si>
  <si>
    <t>MINAKSHI MUKHERJEE</t>
  </si>
  <si>
    <t>https://suvidha.eci.gov.in/ac/public/uploads2/candprofile/E32/2026/AC/s25/MINAK-2026-20260404062317.jpg</t>
  </si>
  <si>
    <t>JYOTIRMOY SARKAR</t>
  </si>
  <si>
    <t>https://suvidha.eci.gov.in/ac/public/uploads2/candprofile/E32/2026/AC/s25/JYOTI-2026-20260408074702.jpg</t>
  </si>
  <si>
    <t>DOLA SARKAR</t>
  </si>
  <si>
    <t>https://suvidha.eci.gov.in/ac/public/uploads2/candprofile/E32/2026/AC/S25/DOLAS-2026-20260410043904.jpg</t>
  </si>
  <si>
    <t>DASGUPTA SWAPAN</t>
  </si>
  <si>
    <t>https://suvidha.eci.gov.in/ac/public/uploads2/candprofile/E32/2026/AC/S25/DRSWA-2026-20260402083641.jpg</t>
  </si>
  <si>
    <t>SANKAR MAITRA</t>
  </si>
  <si>
    <t>https://suvidha.eci.gov.in/ac/public/uploads2/candprofile/E32/2026/AC/S25/SANKA-2026-20260409121020.jpg</t>
  </si>
  <si>
    <t>NADEBASI JANA</t>
  </si>
  <si>
    <t>https://suvidha.eci.gov.in/ac/public/uploads2/candprofile/E32/2026/AC/s25/NADEB-2026-20260408075413.jpg</t>
  </si>
  <si>
    <t>DEEPAK SINGH</t>
  </si>
  <si>
    <t>https://suvidha.eci.gov.in/ac/public/uploads2/candprofile/E32/2026/AC/S25/DEEPA-2026-20260412062016.jpg</t>
  </si>
  <si>
    <t>TAPAS MONDAL S/O-SHIBPRASAD MONDAL</t>
  </si>
  <si>
    <t>https://suvidha.eci.gov.in/ac/public/uploads2/candprofile/E32/2026/AC/s25/TAPAS-2026-20260406050916.jpg</t>
  </si>
  <si>
    <t>MANASH SARKAR</t>
  </si>
  <si>
    <t>https://suvidha.eci.gov.in/ac/public/uploads2/candprofile/E32/2026/AC/S25/MANAS-2026-20260408055240.jpg</t>
  </si>
  <si>
    <t>GOUTAM PAL</t>
  </si>
  <si>
    <t>https://suvidha.eci.gov.in/ac/public/uploads2/candprofile/E32/2026/AC/s25/GOUTA-2026-20260406040635.jpg</t>
  </si>
  <si>
    <t>NILANJAN SAHA (BAPI)</t>
  </si>
  <si>
    <t>https://suvidha.eci.gov.in/ac/public/uploads2/candprofile/E32/2026/AC/s25/NILAN-2026-20260407050810.jpg</t>
  </si>
  <si>
    <t>PARAMITA ROY</t>
  </si>
  <si>
    <t>https://suvidha.eci.gov.in/ac/public/uploads2/candprofile/E32/2026/AC/S25/PARAM-2026-20260407052041.jpg</t>
  </si>
  <si>
    <t>BRIJ NANDAN PRASAD</t>
  </si>
  <si>
    <t>https://suvidha.eci.gov.in/ac/public/uploads2/candprofile/E32/2026/AC/s25/BRIJN-2026-20260408080132.jpg</t>
  </si>
  <si>
    <t>TAMANATH BHOWMICK</t>
  </si>
  <si>
    <t>https://suvidha.eci.gov.in/ac/public/uploads2/candprofile/E32/2026/AC/s25/TAMAN-2026-20260406053435.jpg</t>
  </si>
  <si>
    <t>ASIF ALI</t>
  </si>
  <si>
    <t>https://suvidha.eci.gov.in/ac/public/uploads2/candprofile/E32/2026/AC/S25/SKASI-2026-20260404043501.jpg</t>
  </si>
  <si>
    <t>ASH NARAYAN SINGH</t>
  </si>
  <si>
    <t>https://suvidha.eci.gov.in/ac/public/uploads2/candprofile/E32/2026/AC/s25/ASHNA-2026-20260407073536.jpg</t>
  </si>
  <si>
    <t>PRADIP GAYEN</t>
  </si>
  <si>
    <t>https://suvidha.eci.gov.in/ac/public/uploads2/candprofile/E32/2026/AC/s25/PRADI-2026-20260409101800.jpg</t>
  </si>
  <si>
    <t>SHARADWAT MUKHERJEE</t>
  </si>
  <si>
    <t>https://suvidha.eci.gov.in/ac/public/uploads2/candprofile/E32/2026/AC/s25/SHARA-2026-20260407073847.jpg</t>
  </si>
  <si>
    <t>JOSHIMUDDIN MALLICK</t>
  </si>
  <si>
    <t>https://suvidha.eci.gov.in/ac/public/uploads2/candprofile/E32/2026/AC/S25/JOSHI-2026-20260408104906.jpg</t>
  </si>
  <si>
    <t>NITAI CHANDRA PAL</t>
  </si>
  <si>
    <t>https://suvidha.eci.gov.in/ac/public/uploads2/candprofile/E32/2026/AC/S25/NITAI-2026-20260408055015.jpg</t>
  </si>
  <si>
    <t>SK ABUBAKKAR</t>
  </si>
  <si>
    <t>https://suvidha.eci.gov.in/ac/public/uploads2/candprofile/E32/2026/AC/S25/SKABU-2026-20260413060513.jpg</t>
  </si>
  <si>
    <t>SHUBHRANGSHU NAYEK</t>
  </si>
  <si>
    <t>https://suvidha.eci.gov.in/ac/public/uploads2/candprofile/E32/2026/AC/s25/SHUBH-2026-20260408054020.jpg</t>
  </si>
  <si>
    <t>BHABANI PRASAD MONDAL</t>
  </si>
  <si>
    <t>https://suvidha.eci.gov.in/ac/public/uploads2/candprofile/E32/2026/AC/S25/BHABA-2026-20260408082401.jpg</t>
  </si>
  <si>
    <t>BARNALI DAS</t>
  </si>
  <si>
    <t>https://suvidha.eci.gov.in/ac/public/uploads2/candprofile/E32/2026/AC/S25/BARNA-2026-20260410023705.jpg</t>
  </si>
  <si>
    <t>BINA MONDAL</t>
  </si>
  <si>
    <t>https://suvidha.eci.gov.in/ac/public/uploads2/candprofile/E32/2026/AC/s25/BINAM-2026-20260406051147.jpg</t>
  </si>
  <si>
    <t>REKHA PATRA</t>
  </si>
  <si>
    <t>https://suvidha.eci.gov.in/ac/public/uploads2/candprofile/E32/2026/AC/s25/REKHA-2026-20260406070912.jpg</t>
  </si>
  <si>
    <t>GOBINDA KUMAR SARDAR</t>
  </si>
  <si>
    <t>https://suvidha.eci.gov.in/ac/public/uploads2/candprofile/E32/2026/AC/S25/GOBIN-2026-20260410035729.jpg</t>
  </si>
  <si>
    <t>PRADIP KAR</t>
  </si>
  <si>
    <t>https://suvidha.eci.gov.in/ac/public/uploads2/candprofile/E32/2026/AC/S25/PRADI-2026-20260410062823.jpg</t>
  </si>
  <si>
    <t>RATNA DEBNATH</t>
  </si>
  <si>
    <t>https://suvidha.eci.gov.in/ac/public/uploads2/candprofile/E32/2026/AC/s25/RATNA-2026-20260409060432.jpg</t>
  </si>
  <si>
    <t>MALAY SAHA</t>
  </si>
  <si>
    <t>https://suvidha.eci.gov.in/ac/public/uploads2/candprofile/E32/2026/AC/s25/MALAY-2026-20260409103045.jpg</t>
  </si>
  <si>
    <t>JYOTI PRIYA MALLICK</t>
  </si>
  <si>
    <t>https://suvidha.eci.gov.in/ac/public/uploads2/candprofile/E32/2026/AC/s25/JYOTI-2026-20260406053815.jpg</t>
  </si>
  <si>
    <t>RAMSANKAR HALDER</t>
  </si>
  <si>
    <t>https://suvidha.eci.gov.in/ac/public/uploads2/candprofile/E32/2026/AC/s25/RAMSA-2026-20260407081633.jpg</t>
  </si>
  <si>
    <t>PULAK ROY</t>
  </si>
  <si>
    <t>https://suvidha.eci.gov.in/ac/public/uploads2/candprofile/E32/2026/AC/s25/PULAK-2026-20260408060048.jpg</t>
  </si>
  <si>
    <t>TAPAS KUMAR BAIDYA</t>
  </si>
  <si>
    <t>https://suvidha.eci.gov.in/ac/public/uploads2/candprofile/E32/2026/AC/s25/TAPAS-2026-20260408060142.jpg</t>
  </si>
  <si>
    <t>PANNA LAL HALDER</t>
  </si>
  <si>
    <t>https://suvidha.eci.gov.in/ac/public/uploads2/candprofile/E32/2026/AC/s25/PANNA-2026-20260406044727.jpg</t>
  </si>
  <si>
    <t>DEBASISH KUMAR (DEBA)</t>
  </si>
  <si>
    <t>https://suvidha.eci.gov.in/ac/public/uploads2/candprofile/E32/2026/AC/s25/DEBAS-2026-20260406054043.jpg</t>
  </si>
  <si>
    <t>SAMBHU DAS</t>
  </si>
  <si>
    <t>https://suvidha.eci.gov.in/ac/public/uploads2/candprofile/E32/2026/AC/s25/SAMBH-2026-20260408083724.jpg</t>
  </si>
  <si>
    <t>PRADIP KUMAR SAHA</t>
  </si>
  <si>
    <t>https://suvidha.eci.gov.in/ac/public/uploads2/candprofile/E32/2026/AC/s25/PRADI-2026-20260406060419.jpg</t>
  </si>
  <si>
    <t>SUGATO ROY CHAUDHURI</t>
  </si>
  <si>
    <t>https://suvidha.eci.gov.in/ac/public/uploads2/candprofile/E32/2026/AC/s25/SUGAT-2026-20260407085711.jpg</t>
  </si>
  <si>
    <t>SANDIP KUMAR SAMANTA</t>
  </si>
  <si>
    <t>https://suvidha.eci.gov.in/ac/public/uploads2/candprofile/E32/2026/AC/s25/SANDI-2026-20260404042354.jpg</t>
  </si>
  <si>
    <t>MIRAJ ALAM SEKH</t>
  </si>
  <si>
    <t>https://suvidha.eci.gov.in/ac/public/uploads2/candprofile/E32/2026/AC/s25/MIRAJ-2026-20260406041543.jpg</t>
  </si>
  <si>
    <t>KAILASH KUMAR MISHRA</t>
  </si>
  <si>
    <t>https://suvidha.eci.gov.in/ac/public/uploads2/candprofile/E32/2026/AC/S25/KAILA-2026-20260409120059.jpg</t>
  </si>
  <si>
    <t>SHARMISTHA NAG SAHA</t>
  </si>
  <si>
    <t>https://suvidha.eci.gov.in/ac/public/uploads2/candprofile/E32/2026/AC/s25/SHARM-2026-20260406064933.jpg</t>
  </si>
  <si>
    <t>SOUMYAJIT RAHA</t>
  </si>
  <si>
    <t>https://suvidha.eci.gov.in/ac/public/uploads2/candprofile/E32/2026/AC/s25/SOUMY-2026-20260408084151.jpg</t>
  </si>
  <si>
    <t>RUKBANUR RAHMAN</t>
  </si>
  <si>
    <t>https://suvidha.eci.gov.in/ac/public/uploads2/candprofile/E32/2026/AC/S25/RUKBA-2026-20260414040912.jpg</t>
  </si>
  <si>
    <t>RABINDRA NATH MAHATA</t>
  </si>
  <si>
    <t>https://suvidha.eci.gov.in/ac/public/uploads2/candprofile/E32/2026/AC/S25/RABIN-2026-20260408062429.jpg</t>
  </si>
  <si>
    <t>PUSHPA DHALI</t>
  </si>
  <si>
    <t>https://suvidha.eci.gov.in/ac/public/uploads2/candprofile/E32/2026/AC/s25/PUSHP-2026-20260409062133.jpg</t>
  </si>
  <si>
    <t>BIMAN BANERJEE</t>
  </si>
  <si>
    <t>https://suvidha.eci.gov.in/ac/public/uploads2/candprofile/E32/2026/AC/s25/BIMAN-2026-20260406054203.jpg</t>
  </si>
  <si>
    <t>SABIR ALI SARDAR</t>
  </si>
  <si>
    <t>https://suvidha.eci.gov.in/ac/public/uploads2/candprofile/E32/2026/AC/S25/SABIR-2026-20260406065537.jpg</t>
  </si>
  <si>
    <t>BURHANUL MUKADDIM (LITON)</t>
  </si>
  <si>
    <t>https://suvidha.eci.gov.in/ac/public/uploads2/candprofile/E32/2026/AC/S25/BURHA-2026-20260408011358.jpg</t>
  </si>
  <si>
    <t>AYNUL AREFIN(RAJU AHMED)</t>
  </si>
  <si>
    <t>https://suvidha.eci.gov.in/ac/public/uploads2/candprofile/E32/2026/AC/s25/AYNUL-2026-20260407053440.jpg</t>
  </si>
  <si>
    <t>ASIMANANDA MAJUMDER</t>
  </si>
  <si>
    <t>https://suvidha.eci.gov.in/ac/public/uploads2/candprofile/E32/2026/AC/s25/ASIMA-2026-20260408060848.jpg</t>
  </si>
  <si>
    <t>MD. RABIUL MOLLAH</t>
  </si>
  <si>
    <t>https://suvidha.eci.gov.in/ac/public/uploads2/candprofile/E32/2026/AC/s25/MDRA-2026-20260409084624.jpg</t>
  </si>
  <si>
    <t>MD MUKHTAR</t>
  </si>
  <si>
    <t>https://suvidha.eci.gov.in/ac/public/uploads2/candprofile/E32/2026/AC/s25/MDMUK-2026-20260406073609.jpg</t>
  </si>
  <si>
    <t>VIJAY OJHA</t>
  </si>
  <si>
    <t>https://suvidha.eci.gov.in/ac/public/uploads2/candprofile/E32/2026/AC/S25/VIJAY-2026-20260412062107.jpg</t>
  </si>
  <si>
    <t>SADHAN GHOSH</t>
  </si>
  <si>
    <t>https://suvidha.eci.gov.in/ac/public/uploads2/candprofile/E32/2026/AC/s25/SADHA-2026-20260406065051.jpg</t>
  </si>
  <si>
    <t>GARGI CHATTERJEE</t>
  </si>
  <si>
    <t>https://suvidha.eci.gov.in/ac/public/uploads2/candprofile/E32/2026/AC/s25/GARGI-2026-20260407054012.jpg</t>
  </si>
  <si>
    <t>NABAKUMAR MONDAL</t>
  </si>
  <si>
    <t>https://suvidha.eci.gov.in/ac/public/uploads2/candprofile/E32/2026/AC/s25/NABAK-2026-20260408090018.jpg</t>
  </si>
  <si>
    <t>SARBORI MUKHERJEE</t>
  </si>
  <si>
    <t>https://suvidha.eci.gov.in/ac/public/uploads2/candprofile/E32/2026/AC/s25/SARBO-2026-20260406081948.jpg</t>
  </si>
  <si>
    <t>MANDIRA CHAKRABORTY</t>
  </si>
  <si>
    <t>https://suvidha.eci.gov.in/ac/public/uploads2/candprofile/E32/2026/AC/s25/MANDI-2026-20260407121715.jpg</t>
  </si>
  <si>
    <t>TARAK NATH CHATTERJEE</t>
  </si>
  <si>
    <t>https://suvidha.eci.gov.in/ac/public/uploads2/candprofile/E32/2026/AC/s25/TARAK-2026-20260408011201.jpg</t>
  </si>
  <si>
    <t>SABINA IYASMIN SEKH</t>
  </si>
  <si>
    <t>https://suvidha.eci.gov.in/ac/public/uploads2/candprofile/E32/2026/AC/s25/SABIN-2026-20260407013114.jpg</t>
  </si>
  <si>
    <t>PARTHA BHAUMIK</t>
  </si>
  <si>
    <t>https://suvidha.eci.gov.in/ac/public/uploads2/candprofile/E32/2026/AC/s25/PARTH-2026-20260407014504.jpg</t>
  </si>
  <si>
    <t>SANAT DEY</t>
  </si>
  <si>
    <t>https://suvidha.eci.gov.in/ac/public/uploads2/candprofile/E32/2026/AC/S25/SANAT-2026-20260406051927.jpg</t>
  </si>
  <si>
    <t>DILIP MONDAL</t>
  </si>
  <si>
    <t>https://suvidha.eci.gov.in/ac/public/uploads2/candprofile/E32/2026/AC/s25/DILIP-2026-20260408020444.jpg</t>
  </si>
  <si>
    <t>MIARAJ BAIDYA</t>
  </si>
  <si>
    <t>https://suvidha.eci.gov.in/ac/public/uploads2/candprofile/E32/2026/AC/s25/MIARA-2026-20260408062315.jpg</t>
  </si>
  <si>
    <t>MUSA HAQUE MONDAL</t>
  </si>
  <si>
    <t>https://suvidha.eci.gov.in/ac/public/uploads2/candprofile/E32/2026/AC/s25/MUSAH-2026-20260408092931.jpg</t>
  </si>
  <si>
    <t>PAPIA ADHIKARY</t>
  </si>
  <si>
    <t>https://suvidha.eci.gov.in/ac/public/uploads2/candprofile/E32/2026/AC/s25/PAPIA-2026-20260406054550.jpg</t>
  </si>
  <si>
    <t>PRABHASH CHANDRA GHOSH</t>
  </si>
  <si>
    <t>https://suvidha.eci.gov.in/ac/public/uploads2/candprofile/E32/2026/AC/s25/PRABH-2026-20260407054824.jpg</t>
  </si>
  <si>
    <t>SHIBABRATA GUHAROY</t>
  </si>
  <si>
    <t>https://suvidha.eci.gov.in/ac/public/uploads2/candprofile/E32/2026/AC/S25/SHIBA-2026-20260409013859.jpg</t>
  </si>
  <si>
    <t>SUBHASH PATRA</t>
  </si>
  <si>
    <t>https://suvidha.eci.gov.in/ac/public/uploads2/candprofile/E32/2026/AC/s25/SUBHA-2026-20260408025152.jpg</t>
  </si>
  <si>
    <t>DEBANGSHU PANDA</t>
  </si>
  <si>
    <t>https://suvidha.eci.gov.in/ac/public/uploads2/candprofile/E32/2026/AC/s25/DEBAN-2026-20260408063321.jpg</t>
  </si>
  <si>
    <t>JYOTIRMAY MONDAL</t>
  </si>
  <si>
    <t>https://suvidha.eci.gov.in/ac/public/uploads2/candprofile/E32/2026/AC/s25/JYOTI-2026-20260407024237.jpg</t>
  </si>
  <si>
    <t>TAPAS BAR</t>
  </si>
  <si>
    <t>https://suvidha.eci.gov.in/ac/public/uploads2/candprofile/E32/2026/AC/s25/TAPAS-2026-20260408032300.jpg</t>
  </si>
  <si>
    <t>BHUTNATH MALIK</t>
  </si>
  <si>
    <t>https://suvidha.eci.gov.in/ac/public/uploads2/candprofile/E32/2026/AC/s25/BHUTN-2026-20260408032551.jpg</t>
  </si>
  <si>
    <t>SRUTISEKHAR GOSWAMI</t>
  </si>
  <si>
    <t>https://suvidha.eci.gov.in/ac/public/uploads2/candprofile/E32/2026/AC/s25/SRUTI-2026-20260408033128.jpg</t>
  </si>
  <si>
    <t>PALASH RANA</t>
  </si>
  <si>
    <t>https://suvidha.eci.gov.in/ac/public/uploads2/candprofile/E32/2026/AC/s25/PALAS-2026-20260406052156.jpg</t>
  </si>
  <si>
    <t>BARNALI DEY ROY</t>
  </si>
  <si>
    <t>https://suvidha.eci.gov.in/ac/public/uploads2/candprofile/E32/2026/AC/S25/BARNA-2026-20260407040157.jpg</t>
  </si>
  <si>
    <t>BIKASH SARDAR</t>
  </si>
  <si>
    <t>https://suvidha.eci.gov.in/ac/public/uploads2/candprofile/E32/2026/AC/s25/BIKAS-2026-20260406074017.jpg</t>
  </si>
  <si>
    <t>TAPAN DAS</t>
  </si>
  <si>
    <t>https://suvidha.eci.gov.in/ac/public/uploads2/candprofile/E32/2026/AC/s25/TAPAN-2026-20260408102909.jpg</t>
  </si>
  <si>
    <t>BASANTI BAG(MAJHI)</t>
  </si>
  <si>
    <t>https://suvidha.eci.gov.in/ac/public/uploads2/candprofile/E32/2026/AC/S25/BASAN-2026-20260406043725.jpg</t>
  </si>
  <si>
    <t>RAMKRISHNA MALIK (DEV)</t>
  </si>
  <si>
    <t>https://suvidha.eci.gov.in/ac/public/uploads2/candprofile/E32/2026/AC/s25/RAMKR-2026-20260407055632.jpg</t>
  </si>
  <si>
    <t>SUBRATA MONDAL</t>
  </si>
  <si>
    <t>https://suvidha.eci.gov.in/ac/public/uploads2/candprofile/E32/2026/AC/s25/SUBRA-2026-20260407032024.jpg</t>
  </si>
  <si>
    <t>PURNIMA CHAKRABORTY</t>
  </si>
  <si>
    <t>https://suvidha.eci.gov.in/ac/public/uploads2/candprofile/E32/2026/AC/S25/PURNI-2026-20260410115743.jpg</t>
  </si>
  <si>
    <t>RUDRA PROSAD BANERJEE</t>
  </si>
  <si>
    <t>https://suvidha.eci.gov.in/ac/public/uploads2/candprofile/E32/2026/AC/s25/RUDRA-2026-20260408064643.jpg</t>
  </si>
  <si>
    <t>BANKIM CHANDRA HAZRA</t>
  </si>
  <si>
    <t>https://suvidha.eci.gov.in/ac/public/uploads2/candprofile/E32/2026/AC/S25/BANKI-2026-20260413081434.jpg</t>
  </si>
  <si>
    <t>BHASKAR ROY</t>
  </si>
  <si>
    <t>https://suvidha.eci.gov.in/ac/public/uploads2/candprofile/E32/2026/AC/s25/BHASK-2026-20260407034233.jpg</t>
  </si>
  <si>
    <t>RABINDRANATH MONDAL</t>
  </si>
  <si>
    <t>https://suvidha.eci.gov.in/ac/public/uploads2/candprofile/E32/2026/AC/s25/RABIN-2026-20260407060047.jpg</t>
  </si>
  <si>
    <t>MALLIKA PAIK W/O - ASHOK PAIK</t>
  </si>
  <si>
    <t>https://suvidha.eci.gov.in/ac/public/uploads2/candprofile/E32/2026/AC/s25/MALLI-2026-20260407034455.jpg</t>
  </si>
  <si>
    <t>SUNAYANA BISWAS</t>
  </si>
  <si>
    <t>https://suvidha.eci.gov.in/ac/public/uploads2/candprofile/E32/2026/AC/S25/SUNAY-2026-20260409063436.jpg</t>
  </si>
  <si>
    <t>PIJUSH KANTI SAHA</t>
  </si>
  <si>
    <t>https://suvidha.eci.gov.in/ac/public/uploads2/candprofile/E32/2026/AC/s25/PIJUS-2026-20260407034605.jpg</t>
  </si>
  <si>
    <t>BIMAL ROY</t>
  </si>
  <si>
    <t>https://suvidha.eci.gov.in/ac/public/uploads2/candprofile/E32/2026/AC/s25/BIMAL-2026-20260409011953.jpg</t>
  </si>
  <si>
    <t>DR. RANA CHATTERJEE</t>
  </si>
  <si>
    <t>https://suvidha.eci.gov.in/ac/public/uploads2/candprofile/E32/2026/AC/s25/RANAC-2026-20260406061227.jpg</t>
  </si>
  <si>
    <t>DR. RAJIB BISWAS.</t>
  </si>
  <si>
    <t>https://suvidha.eci.gov.in/ac/public/uploads2/candprofile/E32/2026/AC/s25/RAJIB-2026-20260406025700.jpg</t>
  </si>
  <si>
    <t>PUSPA HANSDA</t>
  </si>
  <si>
    <t>https://suvidha.eci.gov.in/ac/public/uploads2/candprofile/E32/2026/AC/s25/PUSPA-2026-20260408041349.jpg</t>
  </si>
  <si>
    <t>BIRENDRANATH PODDER</t>
  </si>
  <si>
    <t>https://suvidha.eci.gov.in/ac/public/uploads2/candprofile/E32/2026/AC/s25/BIREN-2026-20260407035122.jpg</t>
  </si>
  <si>
    <t>SK NIZAMUDDIN</t>
  </si>
  <si>
    <t>https://suvidha.eci.gov.in/ac/public/uploads2/candprofile/E32/2026/AC/s25/SKNIZ-2026-20260408070300.jpg</t>
  </si>
  <si>
    <t>KISOR KUMAR BISWAS</t>
  </si>
  <si>
    <t>https://suvidha.eci.gov.in/ac/public/uploads2/candprofile/E32/2026/AC/S25/KISOR-2026-20260413035319.jpg</t>
  </si>
  <si>
    <t>MUJIBAR RAHMAN KAYAL</t>
  </si>
  <si>
    <t>https://suvidha.eci.gov.in/ac/public/uploads2/candprofile/E32/2026/AC/s25/MUJIB-2026-20260408041850.jpg</t>
  </si>
  <si>
    <t>GOUTAM DHARA</t>
  </si>
  <si>
    <t>https://suvidha.eci.gov.in/ac/public/uploads2/candprofile/E32/2026/AC/s25/GOUTA-2026-20260407061318.jpg</t>
  </si>
  <si>
    <t>DILIP KUMAR PODDAR</t>
  </si>
  <si>
    <t>https://suvidha.eci.gov.in/ac/public/uploads2/candprofile/E32/2026/AC/s25/DILIP-2026-20260406080234.jpg</t>
  </si>
  <si>
    <t>BHASKAR BHATTACHARYA</t>
  </si>
  <si>
    <t>https://suvidha.eci.gov.in/ac/public/uploads2/candprofile/E32/2026/AC/s25/BHASK-2026-20260407040908.jpg</t>
  </si>
  <si>
    <t>SANKAR CHATTERJEE</t>
  </si>
  <si>
    <t>https://suvidha.eci.gov.in/ac/public/uploads2/candprofile/E32/2026/AC/s25/SANKA-2026-20260407061422.jpg</t>
  </si>
  <si>
    <t>SANKAR SARKAR</t>
  </si>
  <si>
    <t>https://suvidha.eci.gov.in/ac/public/uploads2/candprofile/E32/2026/AC/s25/SANKA-2026-20260408071151.jpg</t>
  </si>
  <si>
    <t>RANJAN DHARA</t>
  </si>
  <si>
    <t>https://suvidha.eci.gov.in/ac/public/uploads2/candprofile/E32/2026/AC/S25/RANJA-2026-20260410042612.jpg</t>
  </si>
  <si>
    <t>BARNALI DHARA</t>
  </si>
  <si>
    <t>https://suvidha.eci.gov.in/ac/public/uploads2/candprofile/E32/2026/AC/s25/BARNA-2026-20260406035021.jpg</t>
  </si>
  <si>
    <t>RANJAN PAUL</t>
  </si>
  <si>
    <t>https://suvidha.eci.gov.in/ac/public/uploads2/candprofile/E32/2026/AC/s25/RANJA-2026-20260407041111.jpg</t>
  </si>
  <si>
    <t>IMTEAZ AHMED</t>
  </si>
  <si>
    <t>https://suvidha.eci.gov.in/ac/public/uploads2/candprofile/E32/2026/AC/s25/IMTEA-2026-20260406052630.jpg</t>
  </si>
  <si>
    <t>NANDITA CHOWDHURY</t>
  </si>
  <si>
    <t>https://suvidha.eci.gov.in/ac/public/uploads2/candprofile/E32/2026/AC/s25/NANDI-2026-20260406061427.jpg</t>
  </si>
  <si>
    <t>DEBASISH MUKHERJEE</t>
  </si>
  <si>
    <t>https://suvidha.eci.gov.in/ac/public/uploads2/candprofile/E32/2026/AC/S25/DEBAS-2026-20260408035329.jpg</t>
  </si>
  <si>
    <t>GAUTAM CHOWDHURY</t>
  </si>
  <si>
    <t>https://suvidha.eci.gov.in/ac/public/uploads2/candprofile/E32/2026/AC/s25/GAUTA-2026-20260406061432.jpg</t>
  </si>
  <si>
    <t>PALLABI ROY</t>
  </si>
  <si>
    <t>https://suvidha.eci.gov.in/ac/public/uploads2/candprofile/E32/2026/AC/s25/PALLA-2026-20260407062257.jpg</t>
  </si>
  <si>
    <t>GOPAL GHOSH</t>
  </si>
  <si>
    <t>https://suvidha.eci.gov.in/ac/public/uploads2/candprofile/E32/2026/AC/s25/GOPAL-2026-20260408043210.jpg</t>
  </si>
  <si>
    <t>SANJAY BASU</t>
  </si>
  <si>
    <t>https://suvidha.eci.gov.in/ac/public/uploads2/candprofile/E32/2026/AC/s25/SANJA-2026-20260407062634.jpg</t>
  </si>
  <si>
    <t>BRAJAKISHORE GOSWAMI</t>
  </si>
  <si>
    <t>https://suvidha.eci.gov.in/ac/public/uploads2/candprofile/E32/2026/AC/s25/BRAJA-2026-20260407062720.jpg</t>
  </si>
  <si>
    <t>MADHUMITA GHOSH</t>
  </si>
  <si>
    <t>https://suvidha.eci.gov.in/ac/public/uploads2/candprofile/E32/2026/AC/S25/MADHU-2026-20260413020630.jpg</t>
  </si>
  <si>
    <t>RUPA GANGULY</t>
  </si>
  <si>
    <t>https://suvidha.eci.gov.in/ac/public/uploads2/candprofile/E32/2026/AC/s25/RUPAG-2026-20260407062937.jpg</t>
  </si>
  <si>
    <t>NIHAR BHAKTA</t>
  </si>
  <si>
    <t>https://suvidha.eci.gov.in/ac/public/uploads2/candprofile/E32/2026/AC/s25/NIHAR-2026-20260406063903.jpg</t>
  </si>
  <si>
    <t>MAYUKH BISWAS</t>
  </si>
  <si>
    <t>https://suvidha.eci.gov.in/ac/public/uploads2/candprofile/E32/2026/AC/s25/MAYUK-2026-20260407042944.jpg</t>
  </si>
  <si>
    <t>PRABHAS MAJUMDAR</t>
  </si>
  <si>
    <t>https://suvidha.eci.gov.in/ac/public/uploads2/candprofile/E32/2026/AC/S25/PRABH-2026-20260407074056.jpg</t>
  </si>
  <si>
    <t>PARTHA CHAUDHURY</t>
  </si>
  <si>
    <t>https://suvidha.eci.gov.in/ac/public/uploads2/candprofile/E32/2026/AC/s25/PARTH-2026-20260408072636.jpg</t>
  </si>
  <si>
    <t>MD. SAMIM AHAMED MOLLA</t>
  </si>
  <si>
    <t>https://suvidha.eci.gov.in/ac/public/uploads2/candprofile/E32/2026/AC/s25/MDSA-2026-20260406061604.jpg</t>
  </si>
  <si>
    <t>SIRSANYA BANDOPADHYAY</t>
  </si>
  <si>
    <t>https://suvidha.eci.gov.in/ac/public/uploads2/candprofile/E32/2026/AC/s25/SIRSA-2026-20260406050154.jpg</t>
  </si>
  <si>
    <t>SUDIPTA SARKAR</t>
  </si>
  <si>
    <t>https://suvidha.eci.gov.in/ac/public/uploads2/candprofile/E32/2026/AC/s25/SUDIP-2026-20260404044750.jpg</t>
  </si>
  <si>
    <t>DILIP SINGH</t>
  </si>
  <si>
    <t>https://suvidha.eci.gov.in/ac/public/uploads2/candprofile/E32/2026/AC/s25/DILIP-2026-20260407043137.jpg</t>
  </si>
  <si>
    <t>FIRHAD HAKIM</t>
  </si>
  <si>
    <t>https://suvidha.eci.gov.in/ac/public/uploads2/candprofile/E32/2026/AC/s25/FIRHA-2026-20260406095015.jpg</t>
  </si>
  <si>
    <t>BECHURAM MALICK</t>
  </si>
  <si>
    <t>https://suvidha.eci.gov.in/ac/public/uploads2/candprofile/E32/2026/AC/s25/BECHU-2026-20260408045907.jpg</t>
  </si>
  <si>
    <t>TAPAS BARAL</t>
  </si>
  <si>
    <t>https://suvidha.eci.gov.in/ac/public/uploads2/candprofile/E32/2026/AC/s25/TAPAS-2026-20260409043833.jpg</t>
  </si>
  <si>
    <t>RAJENDRA GUPTA</t>
  </si>
  <si>
    <t>https://suvidha.eci.gov.in/ac/public/uploads2/candprofile/E32/2026/AC/S25/RAJEN-2026-20260407060056.jpg</t>
  </si>
  <si>
    <t>PRADIP PRASAD</t>
  </si>
  <si>
    <t>https://suvidha.eci.gov.in/ac/public/uploads2/candprofile/E32/2026/AC/s25/PRADI-2026-20260408073320.jpg</t>
  </si>
  <si>
    <t>TAPAS MAITY</t>
  </si>
  <si>
    <t>https://suvidha.eci.gov.in/ac/public/uploads2/candprofile/E32/2026/AC/s25/TAPAS-2026-20260406074557.jpg</t>
  </si>
  <si>
    <t>DHANANJAY MAITRA</t>
  </si>
  <si>
    <t>https://suvidha.eci.gov.in/ac/public/uploads2/candprofile/E32/2026/AC/s25/DHANA-2026-20260407064807.jpg</t>
  </si>
  <si>
    <t>CHATTERJEE RANAJIT</t>
  </si>
  <si>
    <t>https://suvidha.eci.gov.in/ac/public/uploads2/candprofile/E32/2026/AC/s25/RANAJ-2026-20260408073352.jpg</t>
  </si>
  <si>
    <t>SUBIR CHATTERJEE (TINKAI)</t>
  </si>
  <si>
    <t>https://suvidha.eci.gov.in/ac/public/uploads2/candprofile/E32/2026/AC/s25/SUBIR-2026-20260406050354.jpg</t>
  </si>
  <si>
    <t>SAYANDEEP MITRA</t>
  </si>
  <si>
    <t>https://suvidha.eci.gov.in/ac/public/uploads2/candprofile/E32/2026/AC/s25/SAYAN-2026-20260407065237.jpg</t>
  </si>
  <si>
    <t>MAINUL HAQUE</t>
  </si>
  <si>
    <t>https://suvidha.eci.gov.in/ac/public/uploads2/candprofile/E32/2026/AC/s25/MAINU-2026-20260408073825.jpg</t>
  </si>
  <si>
    <t>MUKTARAM DHAWREY</t>
  </si>
  <si>
    <t>https://suvidha.eci.gov.in/ac/public/uploads2/candprofile/E32/2026/AC/S25/MUKTA-2026-20260412054008.jpg</t>
  </si>
  <si>
    <t>NASIR UDDIN AHAMED</t>
  </si>
  <si>
    <t>https://suvidha.eci.gov.in/ac/public/uploads2/candprofile/E32/2026/AC/s25/NASIR-2026-20260408051416.jpg</t>
  </si>
  <si>
    <t>SASTHI MAJI</t>
  </si>
  <si>
    <t>https://suvidha.eci.gov.in/ac/public/uploads2/candprofile/E32/2026/AC/s25/SASTH-2026-20260407045102.jpg</t>
  </si>
  <si>
    <t>PROTAP CHANDRA MONDAL</t>
  </si>
  <si>
    <t>https://suvidha.eci.gov.in/ac/public/uploads2/candprofile/E32/2026/AC/s25/PROTA-2026-20260406043619.jpg</t>
  </si>
  <si>
    <t>BAG HEMANTA</t>
  </si>
  <si>
    <t>https://suvidha.eci.gov.in/ac/public/uploads2/candprofile/E32/2026/AC/s25/HEMAN-2026-20260402041129.jpg</t>
  </si>
  <si>
    <t>DHARMENDRA SHAW</t>
  </si>
  <si>
    <t>https://suvidha.eci.gov.in/ac/public/uploads2/candprofile/E32/2026/AC/s25/DHARM-2026-20260407065706.jpg</t>
  </si>
  <si>
    <t>SOUGATA GHOSH</t>
  </si>
  <si>
    <t>https://suvidha.eci.gov.in/ac/public/uploads2/candprofile/E32/2026/AC/s25/SOUGA-2026-20260408074348.jpg</t>
  </si>
  <si>
    <t>FIRDOUSI BEGAM</t>
  </si>
  <si>
    <t>https://suvidha.eci.gov.in/ac/public/uploads2/candprofile/E32/2026/AC/s25/FIRDO-2026-20260406050703.jpg</t>
  </si>
  <si>
    <t>CHIRAN BERA</t>
  </si>
  <si>
    <t>https://suvidha.eci.gov.in/ac/public/uploads2/candprofile/E32/2026/AC/s25/CHIRA-2026-20260408052225.jpg</t>
  </si>
  <si>
    <t>DEBASISH BISWAS</t>
  </si>
  <si>
    <t>https://suvidha.eci.gov.in/ac/public/uploads2/candprofile/E32/2026/AC/S25/DEBAS-2026-20260413065742.jpg</t>
  </si>
  <si>
    <t>SABYASACHI BISWAS</t>
  </si>
  <si>
    <t>https://suvidha.eci.gov.in/ac/public/uploads2/candprofile/E32/2026/AC/s25/SABYA-2026-20260407042337.jpg</t>
  </si>
  <si>
    <t>SANATAN MANDI</t>
  </si>
  <si>
    <t>https://suvidha.eci.gov.in/ac/public/uploads2/candprofile/E32/2026/AC/s25/SANAT-2026-20260408052455.jpg</t>
  </si>
  <si>
    <t>ROHAN MITRA</t>
  </si>
  <si>
    <t>https://suvidha.eci.gov.in/ac/public/uploads2/candprofile/E32/2026/AC/S25/ROHAN-2026-20260410043930.jpg</t>
  </si>
  <si>
    <t>DHURJATI MAJI</t>
  </si>
  <si>
    <t>https://suvidha.eci.gov.in/ac/public/uploads2/candprofile/E32/2026/AC/s25/DHURJ-2026-20260407070736.jpg</t>
  </si>
  <si>
    <t>DR. PRIYANKA TIBREWAL</t>
  </si>
  <si>
    <t>https://suvidha.eci.gov.in/ac/public/uploads2/candprofile/E32/2026/AC/s25/PRIYA-2026-20260406043849.jpg</t>
  </si>
  <si>
    <t>DIPU DAS</t>
  </si>
  <si>
    <t>https://suvidha.eci.gov.in/ac/public/uploads2/candprofile/E32/2026/AC/s25/DIPUD-2026-20260406040533.jpg</t>
  </si>
  <si>
    <t>SUDHANGSHU SARKAR</t>
  </si>
  <si>
    <t>https://suvidha.eci.gov.in/ac/public/uploads2/candprofile/E32/2026/AC/s25/SUDHA-2026-20260408052704.jpg</t>
  </si>
  <si>
    <t>SK. MANJUR ALAM</t>
  </si>
  <si>
    <t>https://suvidha.eci.gov.in/ac/public/uploads2/candprofile/E32/2026/AC/S25/SKMA-2026-20260406054816.jpg</t>
  </si>
  <si>
    <t>GOUR BISWAS</t>
  </si>
  <si>
    <t>https://suvidha.eci.gov.in/ac/public/uploads2/candprofile/E32/2026/AC/S25/GOURB-2026-20260407051718.jpg</t>
  </si>
  <si>
    <t>Monish Panda</t>
  </si>
  <si>
    <t>https://suvidha.eci.gov.in/ac/public/uploads2/candprofile/E32/2026/AC/s25/Monis-2026-20260404055606.jpg</t>
  </si>
  <si>
    <t>SUJATA RANJAN</t>
  </si>
  <si>
    <t>https://suvidha.eci.gov.in/ac/public/uploads2/candprofile/E32/2026/AC/s25/SUJAT-2026-20260408053154.jpg</t>
  </si>
  <si>
    <t>MADAN MITRA</t>
  </si>
  <si>
    <t>https://suvidha.eci.gov.in/ac/public/uploads2/candprofile/E32/2026/AC/s25/MADAN-2026-20260406070740.jpg</t>
  </si>
  <si>
    <t>HARAN CHANDRA MISTRY</t>
  </si>
  <si>
    <t>https://suvidha.eci.gov.in/ac/public/uploads2/candprofile/E32/2026/AC/s25/HARAN-2026-20260408080708.jpg</t>
  </si>
  <si>
    <t>NARAYAN GOSWAMI</t>
  </si>
  <si>
    <t>https://suvidha.eci.gov.in/ac/public/uploads2/candprofile/E32/2026/AC/s25/NARAY-2026-20260406014719.jpg</t>
  </si>
  <si>
    <t>SUBHASIS DAS</t>
  </si>
  <si>
    <t>https://suvidha.eci.gov.in/ac/public/uploads2/candprofile/E32/2026/AC/S25/SUBHA-2026-20260407052317.jpg</t>
  </si>
  <si>
    <t>SANJOY DAS</t>
  </si>
  <si>
    <t>https://suvidha.eci.gov.in/ac/public/uploads2/candprofile/E32/2026/AC/s25/SANJO-2026-20260407074116.jpg</t>
  </si>
  <si>
    <t>SUNIL KUMAR SAHA</t>
  </si>
  <si>
    <t>https://suvidha.eci.gov.in/ac/public/uploads2/candprofile/E32/2026/AC/s25/SUNIL-2026-20260404045702.jpg</t>
  </si>
  <si>
    <t>SANKAR SIKDER</t>
  </si>
  <si>
    <t>https://suvidha.eci.gov.in/ac/public/uploads2/candprofile/E32/2026/AC/s25/SANKA-2026-20260408054035.jpg</t>
  </si>
  <si>
    <t>RUPA HALDAR</t>
  </si>
  <si>
    <t>https://suvidha.eci.gov.in/ac/public/uploads2/candprofile/E32/2026/AC/s25/RUPAH-2026-20260407075329.jpg</t>
  </si>
  <si>
    <t>PARBATI BHUNIA</t>
  </si>
  <si>
    <t>https://suvidha.eci.gov.in/ac/public/uploads2/candprofile/E32/2026/AC/s25/PARBA-2026-20260409102905.jpg</t>
  </si>
  <si>
    <t>SANAT SARDAR</t>
  </si>
  <si>
    <t>https://suvidha.eci.gov.in/ac/public/uploads2/candprofile/E32/2026/AC/S25/SANAT-2026-20260407123611.jpg</t>
  </si>
  <si>
    <t>RAHUL PANDEY</t>
  </si>
  <si>
    <t>https://suvidha.eci.gov.in/ac/public/uploads2/candprofile/E32/2026/AC/s25/RAHUL-2026-20260409082700.jpg</t>
  </si>
  <si>
    <t>RUMA AHIRI</t>
  </si>
  <si>
    <t>Communist Party of India (Marxist-Leninist) (Liberation)</t>
  </si>
  <si>
    <t>https://suvidha.eci.gov.in/ac/public/uploads2/candprofile/E32/2026/AC/S25/RUMAA-2026-20260410023455.jpg</t>
  </si>
  <si>
    <t>SAMIR ROY</t>
  </si>
  <si>
    <t>https://suvidha.eci.gov.in/ac/public/uploads2/candprofile/E32/2026/AC/s25/SAMIR-2026-20260408054831.jpg</t>
  </si>
  <si>
    <t>SANTANU DEY</t>
  </si>
  <si>
    <t>https://suvidha.eci.gov.in/ac/public/uploads2/candprofile/E32/2026/AC/s25/SANTA-2026-20260406044618.jpg</t>
  </si>
  <si>
    <t>SUMAN RANJAN BANDYOPADHYAY</t>
  </si>
  <si>
    <t>https://suvidha.eci.gov.in/ac/public/uploads2/candprofile/E32/2026/AC/s25/SUMAN-2026-20260407081932.jpg</t>
  </si>
  <si>
    <t>ARABUL ISLAM</t>
  </si>
  <si>
    <t>All India Secular Front</t>
  </si>
  <si>
    <t>https://suvidha.eci.gov.in/ac/public/uploads2/candprofile/E32/2026/AC/s25/ARABU-2026-20260408055358.jpg</t>
  </si>
  <si>
    <t>SUBODH CHANDRA BISWAS</t>
  </si>
  <si>
    <t>https://suvidha.eci.gov.in/ac/public/uploads2/candprofile/E32/2026/AC/s25/SUBOD-2026-20260407081940.jpg</t>
  </si>
  <si>
    <t>SWAMI MANGALANANDA PURI</t>
  </si>
  <si>
    <t>https://suvidha.eci.gov.in/ac/public/uploads2/candprofile/E32/2026/AC/s25/SWAMI-2026-20260408055401.jpg</t>
  </si>
  <si>
    <t>RUDRANIL GHOSH</t>
  </si>
  <si>
    <t>https://suvidha.eci.gov.in/ac/public/uploads2/candprofile/E32/2026/AC/S25/RUDRA-2026-20260408115457.jpg</t>
  </si>
  <si>
    <t>TAPAS ROY</t>
  </si>
  <si>
    <t>https://suvidha.eci.gov.in/ac/public/uploads2/candprofile/E32/2026/AC/s25/TAPAS-2026-20260408060242.jpg</t>
  </si>
  <si>
    <t>SOMASHREE BETAL</t>
  </si>
  <si>
    <t>https://suvidha.eci.gov.in/ac/public/uploads2/candprofile/E32/2026/AC/s25/SOMAS-2026-20260408060322.jpg</t>
  </si>
  <si>
    <t>NABIN CHANDRA BAG</t>
  </si>
  <si>
    <t>https://suvidha.eci.gov.in/ac/public/uploads2/candprofile/E32/2026/AC/s25/NABIN-2026-20260408060339.jpg</t>
  </si>
  <si>
    <t>LAKSHMI NARAYAN HEMRAM</t>
  </si>
  <si>
    <t>https://suvidha.eci.gov.in/ac/public/uploads2/candprofile/E32/2026/AC/s25/LAKSH-2026-20260406062540.jpg</t>
  </si>
  <si>
    <t>DEBAJYOTI DAS (SUBHO)</t>
  </si>
  <si>
    <t>https://suvidha.eci.gov.in/ac/public/uploads2/candprofile/E32/2026/AC/s25/DEBAJ-2026-20260407053317.jpg</t>
  </si>
  <si>
    <t>BISWANATH DAS</t>
  </si>
  <si>
    <t>https://suvidha.eci.gov.in/ac/public/uploads2/candprofile/E32/2026/AC/S25/BISWA-2026-20260406032153.jpg</t>
  </si>
  <si>
    <t>SNEHASIS CHAKRABORTY</t>
  </si>
  <si>
    <t>https://suvidha.eci.gov.in/ac/public/uploads2/candprofile/E32/2026/AC/s25/SNEHA-2026-20260406041742.jpg</t>
  </si>
  <si>
    <t>MD. HASIM ZESHAN AHMAD</t>
  </si>
  <si>
    <t>https://suvidha.eci.gov.in/ac/public/uploads2/candprofile/E32/2026/AC/s25/MDHA-2026-20260407112152.jpg</t>
  </si>
  <si>
    <t>DR. HIRANMOY CHATTOPADHYAYA (HIRAAN)</t>
  </si>
  <si>
    <t>https://suvidha.eci.gov.in/ac/public/uploads2/candprofile/E32/2026/AC/S25/DRHI-2026-20260408090048.jpg</t>
  </si>
  <si>
    <t>SAMIR CHAKRABORTY</t>
  </si>
  <si>
    <t>https://suvidha.eci.gov.in/ac/public/uploads2/candprofile/E32/2026/AC/s25/SAMIR-2026-20260407053833.jpg</t>
  </si>
  <si>
    <t>SUBHASHISH BHATTACHARYA (TATA)</t>
  </si>
  <si>
    <t>https://suvidha.eci.gov.in/ac/public/uploads2/candprofile/E32/2026/AC/s25/SUBHA-2026-20260408061558.jpg</t>
  </si>
  <si>
    <t>FIROZA KHATUN</t>
  </si>
  <si>
    <t>https://suvidha.eci.gov.in/ac/public/uploads2/candprofile/E32/2026/AC/s25/FIROZ-2026-20260409111254.jpg</t>
  </si>
  <si>
    <t>SATYARANJAN DAS</t>
  </si>
  <si>
    <t>https://suvidha.eci.gov.in/ac/public/uploads2/candprofile/E32/2026/AC/s25/SATYA-2026-20260402071319.jpg</t>
  </si>
  <si>
    <t>PARTHA SARATHI CHATTERJEE(BABU)</t>
  </si>
  <si>
    <t>https://suvidha.eci.gov.in/ac/public/uploads2/candprofile/E32/2026/AC/s25/PARTH-2026-20260406073726.jpg</t>
  </si>
  <si>
    <t>BISWAJIT DAS</t>
  </si>
  <si>
    <t>https://suvidha.eci.gov.in/ac/public/uploads2/candprofile/E32/2026/AC/s25/BISWA-2026-20260402043443.jpg</t>
  </si>
  <si>
    <t>DEBDAS MONDAL</t>
  </si>
  <si>
    <t>https://suvidha.eci.gov.in/ac/public/uploads2/candprofile/E32/2026/AC/S25/DEBDA-2026-20260404123809.jpg</t>
  </si>
  <si>
    <t>MONIRUL ISLAM</t>
  </si>
  <si>
    <t>https://suvidha.eci.gov.in/ac/public/uploads2/candprofile/E32/2026/AC/s25/MONIR-2026-20260406075604.jpg</t>
  </si>
  <si>
    <t>SHYAMAL KUMAR HATI</t>
  </si>
  <si>
    <t>https://suvidha.eci.gov.in/ac/public/uploads2/candprofile/E32/2026/AC/s25/SHYAM-2026-20260407054244.jpg</t>
  </si>
  <si>
    <t>SHYAMA PRASANNA LOHAR</t>
  </si>
  <si>
    <t>https://suvidha.eci.gov.in/ac/public/uploads2/candprofile/E32/2026/AC/s25/SHYAM-2026-20260408062019.jpg</t>
  </si>
  <si>
    <t>SANJAY KUMAR SINGH</t>
  </si>
  <si>
    <t>https://suvidha.eci.gov.in/ac/public/uploads2/candprofile/E32/2026/AC/S25/SANJA-2026-20260409121928.jpg</t>
  </si>
  <si>
    <t>RAMKRISHNA BARAI</t>
  </si>
  <si>
    <t>https://suvidha.eci.gov.in/ac/public/uploads2/candprofile/E32/2026/AC/s25/RAMKR-2026-20260408062241.jpg</t>
  </si>
  <si>
    <t>SUKANTA KUMAR PAUL</t>
  </si>
  <si>
    <t>https://suvidha.eci.gov.in/ac/public/uploads2/candprofile/E32/2026/AC/S25/SUKAN-2026-20260408093222.jpg</t>
  </si>
  <si>
    <t>SUSANTA KR MONDAL</t>
  </si>
  <si>
    <t>https://suvidha.eci.gov.in/ac/public/uploads2/candprofile/E32/2026/AC/s25/SUSAN-2026-20260406062943.jpg</t>
  </si>
  <si>
    <t>BARUN KUMAR MALIK</t>
  </si>
  <si>
    <t>https://suvidha.eci.gov.in/ac/public/uploads2/candprofile/E32/2026/AC/s25/BARUN-2026-20260408015535.jpg</t>
  </si>
  <si>
    <t>TRINANKUR BHATTACHARJEE</t>
  </si>
  <si>
    <t>https://suvidha.eci.gov.in/ac/public/uploads2/candprofile/E32/2026/AC/s25/TRINA-2026-20260406045317.jpg</t>
  </si>
  <si>
    <t>ASIT ROY</t>
  </si>
  <si>
    <t>https://suvidha.eci.gov.in/ac/public/uploads2/candprofile/E32/2026/AC/s25/ASITR-2026-20260408092445.jpg</t>
  </si>
  <si>
    <t>https://suvidha.eci.gov.in/ac/public/uploads2/candprofile/E32/2026/AC/s25/RAMKR-2026-20260409064802.jpg</t>
  </si>
  <si>
    <t>ABDUL ARIF</t>
  </si>
  <si>
    <t>Aam Janata Unnayan party</t>
  </si>
  <si>
    <t>https://suvidha.eci.gov.in/ac/public/uploads2/candprofile/E32/2026/AC/s25/ABDUL-2026-20260408062743.jpg</t>
  </si>
  <si>
    <t>DR. RAJESH KUMAR</t>
  </si>
  <si>
    <t>https://suvidha.eci.gov.in/ac/public/uploads2/candprofile/E32/2026/AC/s25/DRRA-2026-20260407022448.jpg</t>
  </si>
  <si>
    <t>SAMIR KUMAR PODDAR</t>
  </si>
  <si>
    <t>https://suvidha.eci.gov.in/ac/public/uploads2/candprofile/E32/2026/AC/s25/SAMIR-2026-20260408063018.jpg</t>
  </si>
  <si>
    <t>SHATORUPA</t>
  </si>
  <si>
    <t>https://suvidha.eci.gov.in/ac/public/uploads2/candprofile/E32/2026/AC/s25/SHATO-2026-20260402052229.jpg</t>
  </si>
  <si>
    <t>SHYAMALI MONDAL</t>
  </si>
  <si>
    <t>https://suvidha.eci.gov.in/ac/public/uploads2/candprofile/E32/2026/AC/s25/SHYAM-2026-20260408094325.jpg</t>
  </si>
  <si>
    <t>RAJIB SAHA</t>
  </si>
  <si>
    <t>https://suvidha.eci.gov.in/ac/public/uploads2/candprofile/E32/2026/AC/s25/RAJIB-2026-20260407023237.jpg</t>
  </si>
  <si>
    <t>ASHIKUL ISLAM</t>
  </si>
  <si>
    <t>https://suvidha.eci.gov.in/ac/public/uploads2/candprofile/E32/2026/AC/s25/ASHIK-2026-20260408094855.jpg</t>
  </si>
  <si>
    <t>SAMIR SAHA</t>
  </si>
  <si>
    <t>https://suvidha.eci.gov.in/ac/public/uploads2/candprofile/E32/2026/AC/s25/SAMIR-2026-20260408025809.jpg</t>
  </si>
  <si>
    <t>SUBRATA THAKUR</t>
  </si>
  <si>
    <t>https://suvidha.eci.gov.in/ac/public/uploads2/candprofile/E32/2026/AC/s25/SUBRA-2026-20260406042319.jpg</t>
  </si>
  <si>
    <t>HARIPADA MANDAL</t>
  </si>
  <si>
    <t>https://suvidha.eci.gov.in/ac/public/uploads2/candprofile/E32/2026/AC/s25/HARIP-2026-20260408063646.jpg</t>
  </si>
  <si>
    <t>MANASH MUKHERJEE</t>
  </si>
  <si>
    <t>https://suvidha.eci.gov.in/ac/public/uploads2/candprofile/E32/2026/AC/s25/MANAS-2026-20260407030101.jpg</t>
  </si>
  <si>
    <t>SAMIR KUMAR PANJA</t>
  </si>
  <si>
    <t>https://suvidha.eci.gov.in/ac/public/uploads2/candprofile/E32/2026/AC/s25/SAMIR-2026-20260406042414.jpg</t>
  </si>
  <si>
    <t>SUSANTA GHOSH</t>
  </si>
  <si>
    <t>https://suvidha.eci.gov.in/ac/public/uploads2/candprofile/E32/2026/AC/s25/SUSAN-2026-20260402052537.jpg</t>
  </si>
  <si>
    <t>Ratan Kumar Golder</t>
  </si>
  <si>
    <t>https://suvidha.eci.gov.in/ac/public/uploads2/candprofile/E32/2026/AC/s25/Ratan-2026-20260410121654.jpg</t>
  </si>
  <si>
    <t>SANTOSH KUMAR PATHAK</t>
  </si>
  <si>
    <t>https://suvidha.eci.gov.in/ac/public/uploads2/candprofile/E32/2026/AC/S25/SANTO-2026-20260406053759.jpg</t>
  </si>
  <si>
    <t>BINDU BISWAS</t>
  </si>
  <si>
    <t>https://suvidha.eci.gov.in/ac/public/uploads2/candprofile/E32/2026/AC/s25/BINDU-2026-20260408064446.jpg</t>
  </si>
  <si>
    <t>SANTOSH KUMAR SIKDAR</t>
  </si>
  <si>
    <t>https://suvidha.eci.gov.in/ac/public/uploads2/candprofile/E32/2026/AC/S25/SANTO-2026-20260413035530.jpg</t>
  </si>
  <si>
    <t>PRATIK MONDAL</t>
  </si>
  <si>
    <t>https://suvidha.eci.gov.in/ac/public/uploads2/candprofile/E32/2026/AC/S25/PRATI-2026-20260409063338.jpg</t>
  </si>
  <si>
    <t>SAOKAT MOLLA</t>
  </si>
  <si>
    <t>https://suvidha.eci.gov.in/ac/public/uploads2/candprofile/E32/2026/AC/s25/SAOKA-2026-20260408040620.jpg</t>
  </si>
  <si>
    <t>SWARAJ GHOSH</t>
  </si>
  <si>
    <t>https://suvidha.eci.gov.in/ac/public/uploads2/candprofile/E32/2026/AC/S25/SWARA-2026-20260408045243.jpg</t>
  </si>
  <si>
    <t>SUJIT BOSE</t>
  </si>
  <si>
    <t>https://suvidha.eci.gov.in/ac/public/uploads2/candprofile/E32/2026/AC/s25/SUJIT-2026-20260406052401.jpg</t>
  </si>
  <si>
    <t>GAUTAM RAY</t>
  </si>
  <si>
    <t>https://suvidha.eci.gov.in/ac/public/uploads2/candprofile/E32/2026/AC/s25/GAUTA-2026-20260406071903.jpg</t>
  </si>
  <si>
    <t>SUBRATA SHEKHAR BISWAS</t>
  </si>
  <si>
    <t>https://suvidha.eci.gov.in/ac/public/uploads2/candprofile/E32/2026/AC/s25/SUBRA-2026-20260408041107.jpg</t>
  </si>
  <si>
    <t>SOUMEN MAHATO</t>
  </si>
  <si>
    <t>https://suvidha.eci.gov.in/ac/public/uploads2/candprofile/E32/2026/AC/s25/SOUME-2026-20260406091318.jpg</t>
  </si>
  <si>
    <t>SHASHI PANJA</t>
  </si>
  <si>
    <t>https://suvidha.eci.gov.in/ac/public/uploads2/candprofile/E32/2026/AC/S25/SHASH-2026-20260410115658.jpg</t>
  </si>
  <si>
    <t>MOUMITA BISWAS MISRA</t>
  </si>
  <si>
    <t>https://suvidha.eci.gov.in/ac/public/uploads2/candprofile/E32/2026/AC/s25/MOUMI-2026-20260407040040.jpg</t>
  </si>
  <si>
    <t>CHOWDHURI SIDDIQULLAH</t>
  </si>
  <si>
    <t>https://suvidha.eci.gov.in/ac/public/uploads2/candprofile/E32/2026/AC/s25/SIDDI-2026-20260408042004.jpg</t>
  </si>
  <si>
    <t>RABINDRANATH RANJAN</t>
  </si>
  <si>
    <t>https://suvidha.eci.gov.in/ac/public/uploads2/candprofile/E32/2026/AC/S25/RABIN-2026-20260407041141.jpg</t>
  </si>
  <si>
    <t>MD. ABU SIDDIK LASKAR</t>
  </si>
  <si>
    <t>https://suvidha.eci.gov.in/ac/public/uploads2/candprofile/E32/2026/AC/s25/MDAB-2026-20260407061441.jpg</t>
  </si>
  <si>
    <t>SATYABRATA MAJUMDER</t>
  </si>
  <si>
    <t>https://suvidha.eci.gov.in/ac/public/uploads2/candprofile/E32/2026/AC/s25/SATYA-2026-20260407061732.jpg</t>
  </si>
  <si>
    <t>SHRIJEEB BISWAS</t>
  </si>
  <si>
    <t>https://suvidha.eci.gov.in/ac/public/uploads2/candprofile/E32/2026/AC/s25/SHRIJ-2026-20260406065825.jpg</t>
  </si>
  <si>
    <t>SUBRATA DUTTA</t>
  </si>
  <si>
    <t>https://suvidha.eci.gov.in/ac/public/uploads2/candprofile/E32/2026/AC/s25/SUBRA-2026-20260407061826.jpg</t>
  </si>
  <si>
    <t>DR. SUMAY HIRA</t>
  </si>
  <si>
    <t>https://suvidha.eci.gov.in/ac/public/uploads2/candprofile/E32/2026/AC/s25/DRSU-2026-20260404044412.jpg</t>
  </si>
  <si>
    <t>SHAILESH KUMAR</t>
  </si>
  <si>
    <t>https://suvidha.eci.gov.in/ac/public/uploads2/candprofile/E32/2026/AC/s25/SHAIL-2026-20260409092821.jpg</t>
  </si>
  <si>
    <t>NASIR KHAN</t>
  </si>
  <si>
    <t>https://suvidha.eci.gov.in/ac/public/uploads2/candprofile/E32/2026/AC/s25/NASIR-2026-20260407041636.jpg</t>
  </si>
  <si>
    <t>RABINDRANATH CHATTERJEE</t>
  </si>
  <si>
    <t>https://suvidha.eci.gov.in/ac/public/uploads2/candprofile/E32/2026/AC/s25/RABIN-2026-20260408071718.jpg</t>
  </si>
  <si>
    <t>CHANDAN SAHA</t>
  </si>
  <si>
    <t>https://suvidha.eci.gov.in/ac/public/uploads2/candprofile/E32/2026/AC/S25/CHAND-2026-20260405020916.jpg</t>
  </si>
  <si>
    <t>HAMIDUL HAQUE</t>
  </si>
  <si>
    <t>https://suvidha.eci.gov.in/ac/public/uploads2/candprofile/E32/2026/AC/S25/HAMID-2026-20260414041629.jpg</t>
  </si>
  <si>
    <t>SUBRATA KUMAR MAJUMDER</t>
  </si>
  <si>
    <t>https://suvidha.eci.gov.in/ac/public/uploads2/candprofile/E32/2026/AC/s25/SUBRA-2026-20260409033455.jpg</t>
  </si>
  <si>
    <t>MOSHARAF MANDAL</t>
  </si>
  <si>
    <t>https://suvidha.eci.gov.in/ac/public/uploads2/candprofile/E32/2026/AC/s25/MOSHA-2026-20260408043733.jpg</t>
  </si>
  <si>
    <t>SWAPAN DEBNATH</t>
  </si>
  <si>
    <t>https://suvidha.eci.gov.in/ac/public/uploads2/candprofile/E32/2026/AC/s25/SWAPA-2026-20260408044010.jpg</t>
  </si>
  <si>
    <t>TAPASH CHATTERJEE</t>
  </si>
  <si>
    <t>https://suvidha.eci.gov.in/ac/public/uploads2/candprofile/E32/2026/AC/S25/TAPAS-2026-20260407084401.jpg</t>
  </si>
  <si>
    <t>SAIKAT SARKAR</t>
  </si>
  <si>
    <t>https://suvidha.eci.gov.in/ac/public/uploads2/candprofile/E32/2026/AC/s25/SAIKA-2026-20260406050059.jpg</t>
  </si>
  <si>
    <t>SUBRATA MUKHOPADHYAY</t>
  </si>
  <si>
    <t>https://suvidha.eci.gov.in/ac/public/uploads2/candprofile/E32/2026/AC/S25/SUBRA-2026-20260408072827.jpg</t>
  </si>
  <si>
    <t>SUBHAJIT DASGUPTA</t>
  </si>
  <si>
    <t>https://suvidha.eci.gov.in/ac/public/uploads2/candprofile/E32/2026/AC/s25/SUBHA-2026-20260408044416.jpg</t>
  </si>
  <si>
    <t>SUBHANKAR SINGHA (JISHU)</t>
  </si>
  <si>
    <t>https://suvidha.eci.gov.in/ac/public/uploads2/candprofile/E32/2026/AC/S25/SUBHA-2026-20260406050432.jpg</t>
  </si>
  <si>
    <t>PARTHA PRATIM BISWAS</t>
  </si>
  <si>
    <t>https://suvidha.eci.gov.in/ac/public/uploads2/candprofile/E32/2026/AC/s25/PARTH-2026-20260406052817.jpg</t>
  </si>
  <si>
    <t>VASUNDHARA GOSWAMI</t>
  </si>
  <si>
    <t>https://suvidha.eci.gov.in/ac/public/uploads2/candprofile/E32/2026/AC/s25/VASUN-2026-20260408072508.jpg</t>
  </si>
  <si>
    <t>BIVAS SARDAR</t>
  </si>
  <si>
    <t>https://suvidha.eci.gov.in/ac/public/uploads2/candprofile/E32/2026/AC/s25/BIVAS-2026-20260408044919.jpg</t>
  </si>
  <si>
    <t>SANDIPAN SAHA</t>
  </si>
  <si>
    <t>https://suvidha.eci.gov.in/ac/public/uploads2/candprofile/E32/2026/AC/s25/SANDI-2026-20260406052822.jpg</t>
  </si>
  <si>
    <t>SK HAFIZUR RAHAMAN</t>
  </si>
  <si>
    <t>https://suvidha.eci.gov.in/ac/public/uploads2/candprofile/E32/2026/AC/s25/SKHAF-2026-20260408072643.jpg</t>
  </si>
  <si>
    <t>NAZIRA KHATUN</t>
  </si>
  <si>
    <t>https://suvidha.eci.gov.in/ac/public/uploads2/candprofile/E32/2026/AC/s25/MSTNA-2026-20260407063851.jpg</t>
  </si>
  <si>
    <t>SUKRITI KUMAR SARKAR</t>
  </si>
  <si>
    <t>https://suvidha.eci.gov.in/ac/public/uploads2/candprofile/E32/2026/AC/S25/SUKRI-2026-20260408011156.jpg</t>
  </si>
  <si>
    <t>RITESH MONDAL</t>
  </si>
  <si>
    <t>https://suvidha.eci.gov.in/ac/public/uploads2/candprofile/E32/2026/AC/s25/RITES-2026-20260407043141.jpg</t>
  </si>
  <si>
    <t>SANGITA MANDAL</t>
  </si>
  <si>
    <t>Communist Party of India</t>
  </si>
  <si>
    <t>https://suvidha.eci.gov.in/ac/public/uploads2/candprofile/E32/2026/AC/s25/SANGI-2026-20260407043235.jpg</t>
  </si>
  <si>
    <t>SUBHANKAR SARKAR</t>
  </si>
  <si>
    <t>https://suvidha.eci.gov.in/ac/public/uploads2/candprofile/E32/2026/AC/s25/SUBHA-2026-20260408045532.jpg</t>
  </si>
  <si>
    <t>BIMAL KUMAR DAS</t>
  </si>
  <si>
    <t>https://suvidha.eci.gov.in/ac/public/uploads2/candprofile/E32/2026/AC/s25/BIMAL-2026-20260408050507.jpg</t>
  </si>
  <si>
    <t>RITESH TIWARI</t>
  </si>
  <si>
    <t>https://suvidha.eci.gov.in/ac/public/uploads2/candprofile/E32/2026/AC/s25/RITES-2026-20260406080637.jpg</t>
  </si>
  <si>
    <t>HABIBAR RAHAMAN SK</t>
  </si>
  <si>
    <t>https://suvidha.eci.gov.in/ac/public/uploads2/candprofile/E32/2026/AC/S25/HABIB-2026-20260410041720.jpg</t>
  </si>
  <si>
    <t>SUMITRO CHATTERJEE</t>
  </si>
  <si>
    <t>https://suvidha.eci.gov.in/ac/public/uploads2/candprofile/E32/2026/AC/S25/SUMIT-2026-20260407050304.jpg</t>
  </si>
  <si>
    <t>SUBIR KUMAR ROY</t>
  </si>
  <si>
    <t>https://suvidha.eci.gov.in/ac/public/uploads2/candprofile/E32/2026/AC/s25/SUBIR-2026-20260406043547.jpg</t>
  </si>
  <si>
    <t>BITHIKA PANDIT</t>
  </si>
  <si>
    <t>https://suvidha.eci.gov.in/ac/public/uploads2/candprofile/E32/2026/AC/s25/BITHI-2026-20260404040540.jpg</t>
  </si>
  <si>
    <t>MANAB GUHA</t>
  </si>
  <si>
    <t>https://suvidha.eci.gov.in/ac/public/uploads2/candprofile/E32/2026/AC/s25/MANAB-2026-20260407044517.jpg</t>
  </si>
  <si>
    <t>SAMARENDRANATH GHOSH</t>
  </si>
  <si>
    <t>https://suvidha.eci.gov.in/ac/public/uploads2/candprofile/E32/2026/AC/s25/SAMAR-2026-20260404045043.jpg</t>
  </si>
  <si>
    <t>MONOJ KUMAR ROY</t>
  </si>
  <si>
    <t>https://suvidha.eci.gov.in/ac/public/uploads2/candprofile/E32/2026/AC/s25/MONOJ-2026-20260407044806.jpg</t>
  </si>
  <si>
    <t>RITA PAUL DAS</t>
  </si>
  <si>
    <t>https://suvidha.eci.gov.in/ac/public/uploads2/candprofile/E32/2026/AC/s25/RITAP-2026-20260408051339.jpg</t>
  </si>
  <si>
    <t>SIDDHARTHA MAJUMDAR</t>
  </si>
  <si>
    <t>https://suvidha.eci.gov.in/ac/public/uploads2/candprofile/E32/2026/AC/s25/SIDDH-2026-20260407065537.jpg</t>
  </si>
  <si>
    <t>MADHUPARNA THAKUR</t>
  </si>
  <si>
    <t>https://suvidha.eci.gov.in/ac/public/uploads2/candprofile/E32/2026/AC/S25/MADHU-2026-20260408052328.jpg</t>
  </si>
  <si>
    <t>SHAHINA JAVED</t>
  </si>
  <si>
    <t>https://suvidha.eci.gov.in/ac/public/uploads2/candprofile/E32/2026/AC/s25/SHAHI-2026-20260408074145.jpg</t>
  </si>
  <si>
    <t>DILIP CHANDRA HALDER</t>
  </si>
  <si>
    <t>https://suvidha.eci.gov.in/ac/public/uploads2/candprofile/E32/2026/AC/s25/DILIP-2026-20260402080926.jpg</t>
  </si>
  <si>
    <t>SWATI KHANDOKER</t>
  </si>
  <si>
    <t>https://suvidha.eci.gov.in/ac/public/uploads2/candprofile/E32/2026/AC/s25/SWATI-2026-20260406031214.jpg</t>
  </si>
  <si>
    <t>SAMBHU NATH KURMI</t>
  </si>
  <si>
    <t>https://suvidha.eci.gov.in/ac/public/uploads2/candprofile/E32/2026/AC/s25/SAMBH-2026-20260404052146.jpg</t>
  </si>
  <si>
    <t>BIDHAN HALDER</t>
  </si>
  <si>
    <t>https://suvidha.eci.gov.in/ac/public/uploads2/candprofile/E32/2026/AC/s25/BIDHA-2026-20260402081118.jpg</t>
  </si>
  <si>
    <t>SAYANTIKA BANERJEE</t>
  </si>
  <si>
    <t>https://suvidha.eci.gov.in/ac/public/uploads2/candprofile/E32/2026/AC/s25/SAYAN-2026-20260408051736.jpg</t>
  </si>
  <si>
    <t>SABYASACHI DUTTA</t>
  </si>
  <si>
    <t>https://suvidha.eci.gov.in/ac/public/uploads2/candprofile/E32/2026/AC/s25/SABYA-2026-20260406055523.jpg</t>
  </si>
  <si>
    <t>PIYARUL ISLAM</t>
  </si>
  <si>
    <t>https://suvidha.eci.gov.in/ac/public/uploads2/candprofile/E32/2026/AC/s25/PIYAR-2026-20260407070430.jpg</t>
  </si>
  <si>
    <t>SUMANTA MANDAL</t>
  </si>
  <si>
    <t>https://suvidha.eci.gov.in/ac/public/uploads2/candprofile/E32/2026/AC/s25/SUMAN-2026-20260406043824.jpg</t>
  </si>
  <si>
    <t>DULU DAS</t>
  </si>
  <si>
    <t>https://suvidha.eci.gov.in/ac/public/uploads2/candprofile/E32/2026/AC/S25/DULUD-2026-20260413063116.jpg</t>
  </si>
  <si>
    <t>PAWAN KUMAR SINGH</t>
  </si>
  <si>
    <t>https://suvidha.eci.gov.in/ac/public/uploads2/candprofile/E32/2026/AC/s25/PAWAN-2026-20260407070639.jpg</t>
  </si>
  <si>
    <t>VIJAY UPADHYAY</t>
  </si>
  <si>
    <t>https://suvidha.eci.gov.in/ac/public/uploads2/candprofile/E32/2026/AC/S25/VIJAY-2026-20260412061812.jpg</t>
  </si>
  <si>
    <t>SUMANA SARKAR</t>
  </si>
  <si>
    <t>https://suvidha.eci.gov.in/ac/public/uploads2/candprofile/E32/2026/AC/S25/SUMAN-2026-20260413034241.jpg</t>
  </si>
  <si>
    <t>BIKASH CHANDRA MONDAL</t>
  </si>
  <si>
    <t>https://suvidha.eci.gov.in/ac/public/uploads2/candprofile/E32/2026/AC/s25/BIKAS-2026-20260408075402.jpg</t>
  </si>
  <si>
    <t>SAMYA GANGULY</t>
  </si>
  <si>
    <t>https://suvidha.eci.gov.in/ac/public/uploads2/candprofile/E32/2026/AC/s25/SAMYA-2026-20260404045403.jpg</t>
  </si>
  <si>
    <t>SOMNATH MAJI</t>
  </si>
  <si>
    <t>https://suvidha.eci.gov.in/ac/public/uploads2/candprofile/E32/2026/AC/s25/SOMNA-2026-20260406014324.jpg</t>
  </si>
  <si>
    <t>PRABIR MONDAL</t>
  </si>
  <si>
    <t>https://suvidha.eci.gov.in/ac/public/uploads2/candprofile/E32/2026/AC/s25/PRABI-2026-20260408075253.jpg</t>
  </si>
  <si>
    <t>SHIBANI MANDAL</t>
  </si>
  <si>
    <t>https://suvidha.eci.gov.in/ac/public/uploads2/candprofile/E32/2026/AC/s25/SHIBA-2026-20260409100736.jpg</t>
  </si>
  <si>
    <t>SWAPAN KUMAR SARKAR</t>
  </si>
  <si>
    <t>https://suvidha.eci.gov.in/ac/public/uploads2/candprofile/E32/2026/AC/S25/SWAPA-2026-20260406022239.jpg</t>
  </si>
  <si>
    <t>MOUFUL DAS</t>
  </si>
  <si>
    <t>https://suvidha.eci.gov.in/ac/public/uploads2/candprofile/E32/2026/AC/S25/MOUFU-2026-20260411021354.jpg</t>
  </si>
  <si>
    <t>RAMENDU SINHARAY</t>
  </si>
  <si>
    <t>https://suvidha.eci.gov.in/ac/public/uploads2/candprofile/E32/2026/AC/S25/RAMEN-2026-20260407074204.jpg</t>
  </si>
  <si>
    <t>SAMIR MALICK</t>
  </si>
  <si>
    <t>https://suvidha.eci.gov.in/ac/public/uploads2/candprofile/E32/2026/AC/s25/SAMIR-2026-20260406070647.jpg</t>
  </si>
  <si>
    <t>DR. SOURYA BANERJEE</t>
  </si>
  <si>
    <t>https://suvidha.eci.gov.in/ac/public/uploads2/candprofile/E32/2026/AC/s25/SOURY-2026-20260406072924.jpg</t>
  </si>
  <si>
    <t>SEKH SAHONAWEZ</t>
  </si>
  <si>
    <t>https://suvidha.eci.gov.in/ac/public/uploads2/candprofile/E32/2026/AC/S25/SEKHS-2026-20260409050233.jpg</t>
  </si>
  <si>
    <t>DEBNATH KUNDU</t>
  </si>
  <si>
    <t>https://suvidha.eci.gov.in/ac/public/uploads2/candprofile/E32/2026/AC/s25/DEBNA-2026-20260409080826.jpg</t>
  </si>
  <si>
    <t>MONALISA SINHA</t>
  </si>
  <si>
    <t>https://suvidha.eci.gov.in/ac/public/uploads2/candprofile/E32/2026/AC/s25/MONAL-2026-20260407050903.jpg</t>
  </si>
  <si>
    <t>KAJAL DUTTA</t>
  </si>
  <si>
    <t>https://suvidha.eci.gov.in/ac/public/uploads2/candprofile/E32/2026/AC/s25/KAJAL-2026-20260406051024.jpg</t>
  </si>
  <si>
    <t>BISWAJIT PAUL</t>
  </si>
  <si>
    <t>https://suvidha.eci.gov.in/ac/public/uploads2/candprofile/E32/2026/AC/s25/BISWA-2026-20260407073019.jpg</t>
  </si>
  <si>
    <t>SUDIPTA DAS</t>
  </si>
  <si>
    <t>https://suvidha.eci.gov.in/ac/public/uploads2/candprofile/E32/2026/AC/S25/SUDIP-2026-20260407062917.jpg</t>
  </si>
  <si>
    <t>RATNA CHATTERJEE</t>
  </si>
  <si>
    <t>https://suvidha.eci.gov.in/ac/public/uploads2/candprofile/E32/2026/AC/s25/RATNA-2026-20260406053531.jpg</t>
  </si>
  <si>
    <t>PRITAM GHOSH</t>
  </si>
  <si>
    <t>https://suvidha.eci.gov.in/ac/public/uploads2/candprofile/E32/2026/AC/s25/PRITA-2026-20260408081505.jpg</t>
  </si>
  <si>
    <t>MANIMALA DAS</t>
  </si>
  <si>
    <t>https://suvidha.eci.gov.in/ac/public/uploads2/candprofile/E32/2026/AC/s25/MANIM-2026-20260406125023.jpg</t>
  </si>
  <si>
    <t>MALLA MUKTER</t>
  </si>
  <si>
    <t>https://suvidha.eci.gov.in/ac/public/uploads2/candprofile/E32/2026/AC/s25/MOLLA-2026-20260409055809.jpg</t>
  </si>
  <si>
    <t>ASHUTOSH PAUL</t>
  </si>
  <si>
    <t>National Republic Party Of India</t>
  </si>
  <si>
    <t>https://suvidha.eci.gov.in/ac/public/uploads2/candprofile/E32/2026/AC/s25/ASHUT-2026-20260409082028.jpg</t>
  </si>
  <si>
    <t>AMAL KUMAR SEN</t>
  </si>
  <si>
    <t>https://suvidha.eci.gov.in/ac/public/uploads2/candprofile/E32/2026/AC/s25/AMALK-2026-20260402050603.jpg</t>
  </si>
  <si>
    <t>MANTURAM PAKHIRA</t>
  </si>
  <si>
    <t>https://suvidha.eci.gov.in/ac/public/uploads2/candprofile/E32/2026/AC/s25/MANTU-2026-20260406051151.jpg</t>
  </si>
  <si>
    <t>BIPLAB KUMAR MANDAL</t>
  </si>
  <si>
    <t>https://suvidha.eci.gov.in/ac/public/uploads2/candprofile/E32/2026/AC/s25/BIPLA-2026-20260407051756.jpg</t>
  </si>
  <si>
    <t>ARABINDA BAG</t>
  </si>
  <si>
    <t>Independent</t>
  </si>
  <si>
    <t>https://suvidha.eci.gov.in/ac/public/uploads2/candprofile/E32/2026/AC/S25/ARABI-2026-20260410023734.jpg</t>
  </si>
  <si>
    <t>ISARAFIL MOLYA</t>
  </si>
  <si>
    <t>https://suvidha.eci.gov.in/ac/public/uploads2/candprofile/E32/2026/AC/s25/ISARA-2026-20260409082106.jpg</t>
  </si>
  <si>
    <t>JAYANTA KHATUA</t>
  </si>
  <si>
    <t>https://suvidha.eci.gov.in/ac/public/uploads2/candprofile/E32/2026/AC/s25/JAYAN-2026-20260402042221.jpg</t>
  </si>
  <si>
    <t>SANTU PAN</t>
  </si>
  <si>
    <t>https://suvidha.eci.gov.in/ac/public/uploads2/candprofile/E32/2026/AC/S25/SANTU-2026-20260407080258.jpg</t>
  </si>
  <si>
    <t>SOBHANDEB CHATTOPADHYAY</t>
  </si>
  <si>
    <t>https://suvidha.eci.gov.in/ac/public/uploads2/candprofile/E32/2026/AC/S25/SOBHA-2026-20260410043953.jpg</t>
  </si>
  <si>
    <t>MUNSURA BEGUM</t>
  </si>
  <si>
    <t>Justice and Development Party</t>
  </si>
  <si>
    <t>https://suvidha.eci.gov.in/ac/public/uploads2/candprofile/E32/2026/AC/s25/MUNSU-2026-20260410021000.jpg</t>
  </si>
  <si>
    <t>SAMIR KUMAR JANA</t>
  </si>
  <si>
    <t>https://suvidha.eci.gov.in/ac/public/uploads2/candprofile/E32/2026/AC/s25/SAMIR-2026-20260408054810.jpg</t>
  </si>
  <si>
    <t>DEBABRATA BERA</t>
  </si>
  <si>
    <t>https://suvidha.eci.gov.in/ac/public/uploads2/candprofile/E32/2026/AC/s25/DEBAB-2026-20260402085816.jpg</t>
  </si>
  <si>
    <t>A.T.M. MODABBAR HOSSAIN</t>
  </si>
  <si>
    <t>https://suvidha.eci.gov.in/ac/public/uploads2/candprofile/E32/2026/AC/s25/ATMMO-2026-20260409103800.jpg</t>
  </si>
  <si>
    <t>SOMENATH SHYAM ICHINI</t>
  </si>
  <si>
    <t>https://suvidha.eci.gov.in/ac/public/uploads2/candprofile/E32/2026/AC/s25/ICHIN-2026-20260406044456.jpg</t>
  </si>
  <si>
    <t>BASUDEB KABRI</t>
  </si>
  <si>
    <t>https://suvidha.eci.gov.in/ac/public/uploads2/candprofile/E32/2026/AC/s25/BASUD-2026-20260404070532.jpg</t>
  </si>
  <si>
    <t>SUBRATA KABIRAJ</t>
  </si>
  <si>
    <t>https://suvidha.eci.gov.in/ac/public/uploads2/candprofile/E32/2026/AC/s25/SUBRA-2026-20260407083728.jpg</t>
  </si>
  <si>
    <t>SWAPAN SINGHA</t>
  </si>
  <si>
    <t>https://suvidha.eci.gov.in/ac/public/uploads2/candprofile/E32/2026/AC/S25/SWAPA-2026-20260406122702.jpg</t>
  </si>
  <si>
    <t>SANJAY MISTRY</t>
  </si>
  <si>
    <t>https://suvidha.eci.gov.in/ac/public/uploads2/candprofile/E32/2026/AC/s25/SANJA-2026-20260407052626.jpg</t>
  </si>
  <si>
    <t>SURAJIT MITRA (BADAL)</t>
  </si>
  <si>
    <t>https://suvidha.eci.gov.in/ac/public/uploads2/candprofile/E32/2026/AC/s25/SURAJ-2026-20260406071221.jpg</t>
  </si>
  <si>
    <t>SANJOY PRAMANIK</t>
  </si>
  <si>
    <t>https://suvidha.eci.gov.in/ac/public/uploads2/candprofile/E32/2026/AC/s25/SANJO-2026-20260407052842.jpg</t>
  </si>
  <si>
    <t>MOUSUMI GHOSH</t>
  </si>
  <si>
    <t>https://suvidha.eci.gov.in/ac/public/uploads2/candprofile/E32/2026/AC/s25/MOUSU-2026-20260407091745.jpg</t>
  </si>
  <si>
    <t>JAKIR GAINE</t>
  </si>
  <si>
    <t>https://suvidha.eci.gov.in/ac/public/uploads2/candprofile/E32/2026/AC/s25/JAKIR-2026-20260406032848.jpg</t>
  </si>
  <si>
    <t>MD. MUSA KAREMULLA</t>
  </si>
  <si>
    <t>https://suvidha.eci.gov.in/ac/public/uploads2/candprofile/E32/2026/AC/s25/MDMUS-2026-20260407092526.jpg</t>
  </si>
  <si>
    <t>HEMANTA DAS</t>
  </si>
  <si>
    <t>https://suvidha.eci.gov.in/ac/public/uploads2/candprofile/E32/2026/AC/s25/HEMAN-2026-20260407053238.jpg</t>
  </si>
  <si>
    <t>PRABIR DEY</t>
  </si>
  <si>
    <t>https://suvidha.eci.gov.in/ac/public/uploads2/candprofile/E32/2026/AC/s25/PRABI-2026-20260404060200.jpg</t>
  </si>
  <si>
    <t>SWAMINATH KORI</t>
  </si>
  <si>
    <t>https://suvidha.eci.gov.in/ac/public/uploads2/candprofile/E32/2026/AC/s25/SWAMI-2026-20260408060658.jpg</t>
  </si>
  <si>
    <t>SAJAL KUMAR SARDAR</t>
  </si>
  <si>
    <t>https://suvidha.eci.gov.in/ac/public/uploads2/candprofile/E32/2026/AC/s25/SAJAL-2026-20260409062724.jpg</t>
  </si>
  <si>
    <t>SUBHENDU BHATTACHARJEE</t>
  </si>
  <si>
    <t>Rashtriya Secular Majlis Party</t>
  </si>
  <si>
    <t>https://suvidha.eci.gov.in/ac/public/uploads2/candprofile/E32/2026/AC/s25/SUBHE-2026-20260409063001.jpg</t>
  </si>
  <si>
    <t>ANUMITA SHAW</t>
  </si>
  <si>
    <t>https://suvidha.eci.gov.in/ac/public/uploads2/candprofile/E32/2026/AC/s25/ANUMI-2026-20260402060721.jpg</t>
  </si>
  <si>
    <t>SEKH MOHINUDDIN</t>
  </si>
  <si>
    <t>Amra Bangalee</t>
  </si>
  <si>
    <t>https://suvidha.eci.gov.in/ac/public/uploads2/candprofile/E32/2026/AC/s25/SEKHM-2026-20260409084843.jpg</t>
  </si>
  <si>
    <t>RAKESH SINGH</t>
  </si>
  <si>
    <t>https://suvidha.eci.gov.in/ac/public/uploads2/candprofile/E32/2026/AC/s25/RAKES-2026-20260409110623.jpg</t>
  </si>
  <si>
    <t>IBRAHIM MOLLA</t>
  </si>
  <si>
    <t>https://suvidha.eci.gov.in/ac/public/uploads2/candprofile/E32/2026/AC/S25/IBRAH-2026-20260408012412.jpg</t>
  </si>
  <si>
    <t>LAKSHIMIKANTA MALICK</t>
  </si>
  <si>
    <t>https://suvidha.eci.gov.in/ac/public/uploads2/candprofile/E32/2026/AC/S25/LAKSH-2026-20260410011419.jpg</t>
  </si>
  <si>
    <t>SOURAV SIKDAR</t>
  </si>
  <si>
    <t>https://suvidha.eci.gov.in/ac/public/uploads2/candprofile/E32/2026/AC/s25/SOURA-2026-20260409085555.jpg</t>
  </si>
  <si>
    <t>MINA MAJUMDAR</t>
  </si>
  <si>
    <t>https://suvidha.eci.gov.in/ac/public/uploads2/candprofile/E32/2026/AC/s25/MINAM-2026-20260408124043.jpg</t>
  </si>
  <si>
    <t>SUBODH ADHIKARY</t>
  </si>
  <si>
    <t>https://suvidha.eci.gov.in/ac/public/uploads2/candprofile/E32/2026/AC/S25/SUBOD-2026-20260407065505.jpg</t>
  </si>
  <si>
    <t>SHAIKH KABIL UDDIN</t>
  </si>
  <si>
    <t>https://suvidha.eci.gov.in/ac/public/uploads2/candprofile/E32/2026/AC/S25/SHAIK-2026-20260408052555.jpg</t>
  </si>
  <si>
    <t>SAMIR SARKAR</t>
  </si>
  <si>
    <t>https://suvidha.eci.gov.in/ac/public/uploads2/candprofile/E32/2026/AC/s25/SAMIR-2026-20260404050623.jpg</t>
  </si>
  <si>
    <t>SUBHASISH CHAKRABORTY</t>
  </si>
  <si>
    <t>https://suvidha.eci.gov.in/ac/public/uploads2/candprofile/E32/2026/AC/s25/SUBHA-2026-20260408012037.jpg</t>
  </si>
  <si>
    <t>SANJIB BISWAS</t>
  </si>
  <si>
    <t>https://suvidha.eci.gov.in/ac/public/uploads2/candprofile/E32/2026/AC/s25/SANJI-2026-20260409112751.jpg</t>
  </si>
  <si>
    <t>ANSUMAN MITRA</t>
  </si>
  <si>
    <t>https://suvidha.eci.gov.in/ac/public/uploads2/candprofile/E32/2026/AC/S25/ANSUM-2026-20260412061653.jpg</t>
  </si>
  <si>
    <t>SK. MD SAHID</t>
  </si>
  <si>
    <t>https://suvidha.eci.gov.in/ac/public/uploads2/candprofile/E32/2026/AC/s25/SKMDS-2026-20260409085934.jpg</t>
  </si>
  <si>
    <t>SANJIB KUMAR DAS</t>
  </si>
  <si>
    <t>https://suvidha.eci.gov.in/ac/public/uploads2/candprofile/E32/2026/AC/s25/SANJI-2026-20260406024914.jpg</t>
  </si>
  <si>
    <t>TARAK PAL</t>
  </si>
  <si>
    <t>https://suvidha.eci.gov.in/ac/public/uploads2/candprofile/E32/2026/AC/s25/TARAK-2026-20260408092205.jpg</t>
  </si>
  <si>
    <t>DEBABRATA MONDAL</t>
  </si>
  <si>
    <t>https://suvidha.eci.gov.in/ac/public/uploads2/candprofile/E32/2026/AC/S25/DEBAB-2026-20260409063254.jpg</t>
  </si>
  <si>
    <t>DEBABRATA BISWAS</t>
  </si>
  <si>
    <t>https://suvidha.eci.gov.in/ac/public/uploads2/candprofile/E32/2026/AC/s25/DEBAB-2026-20260402043706.jpg</t>
  </si>
  <si>
    <t>AVIJIT PODDER</t>
  </si>
  <si>
    <t>https://suvidha.eci.gov.in/ac/public/uploads2/candprofile/E32/2026/AC/s25/AVIJI-2026-20260408024245.jpg</t>
  </si>
  <si>
    <t>SOUGATA KUMAR BURMAN</t>
  </si>
  <si>
    <t>https://suvidha.eci.gov.in/ac/public/uploads2/candprofile/E32/2026/AC/S25/SOUGA-2026-20260406074402.jpg</t>
  </si>
  <si>
    <t>ABDUL NAYEEM MOLLICK</t>
  </si>
  <si>
    <t>Welfare Party Of India</t>
  </si>
  <si>
    <t>https://suvidha.eci.gov.in/ac/public/uploads2/candprofile/E32/2026/AC/s25/ABDUL-2026-20260409065731.jpg</t>
  </si>
  <si>
    <t>SANJAY SINGH</t>
  </si>
  <si>
    <t>https://suvidha.eci.gov.in/ac/public/uploads2/candprofile/E32/2026/AC/S25/SANJA-2026-20260409122537.jpg</t>
  </si>
  <si>
    <t>SWAPAN NASKAR</t>
  </si>
  <si>
    <t>https://suvidha.eci.gov.in/ac/public/uploads2/candprofile/E32/2026/AC/s25/SWAPA-2026-20260407030433.jpg</t>
  </si>
  <si>
    <t>DEVADEEP PUROHIT</t>
  </si>
  <si>
    <t>https://suvidha.eci.gov.in/ac/public/uploads2/candprofile/E32/2026/AC/s25/DEVAD-2026-20260407055208.jpg</t>
  </si>
  <si>
    <t>SUKANTA BISWAS</t>
  </si>
  <si>
    <t>https://suvidha.eci.gov.in/ac/public/uploads2/candprofile/E32/2026/AC/s25/SUKAN-2026-20260408064146.jpg</t>
  </si>
  <si>
    <t>LATIFUL RAHAMAN MOLLA</t>
  </si>
  <si>
    <t>https://suvidha.eci.gov.in/ac/public/uploads2/candprofile/E32/2026/AC/s25/LATIF-2026-20260410121332.jpg</t>
  </si>
  <si>
    <t>SUBIR NAG</t>
  </si>
  <si>
    <t>https://suvidha.eci.gov.in/ac/public/uploads2/candprofile/E32/2026/AC/S25/SUBIR-2026-20260413123733.jpg</t>
  </si>
  <si>
    <t>SUKLA SAHA</t>
  </si>
  <si>
    <t>https://suvidha.eci.gov.in/ac/public/uploads2/candprofile/E32/2026/AC/s25/SUKLA-2026-20260407031814.jpg</t>
  </si>
  <si>
    <t>SUSMITA BISWAS</t>
  </si>
  <si>
    <t>https://suvidha.eci.gov.in/ac/public/uploads2/candprofile/E32/2026/AC/s25/SUSMI-2026-20260408035500.jpg</t>
  </si>
  <si>
    <t>PANCHU KODALI</t>
  </si>
  <si>
    <t>Bharatiya Nyay-Adhikar Raksha Party</t>
  </si>
  <si>
    <t>https://suvidha.eci.gov.in/ac/public/uploads2/candprofile/E32/2026/AC/s25/PANCH-2026-20260410123554.jpg</t>
  </si>
  <si>
    <t>HARADHAN SANTRA</t>
  </si>
  <si>
    <t>https://suvidha.eci.gov.in/ac/public/uploads2/candprofile/E32/2026/AC/s25/HARAD-2026-20260407055702.jpg</t>
  </si>
  <si>
    <t>SAMAR NAIYA</t>
  </si>
  <si>
    <t>https://suvidha.eci.gov.in/ac/public/uploads2/candprofile/E32/2026/AC/s25/SAMAR-2026-20260404043832.jpg</t>
  </si>
  <si>
    <t>ANARUL HAQUE SK</t>
  </si>
  <si>
    <t>https://suvidha.eci.gov.in/ac/public/uploads2/candprofile/E32/2026/AC/S25/ANARU-2026-20260414040525.jpg</t>
  </si>
  <si>
    <t>ABDUL SAMAD GAZI</t>
  </si>
  <si>
    <t>https://suvidha.eci.gov.in/ac/public/uploads2/candprofile/E32/2026/AC/S25/ABDUL-2026-20260411021507.jpg</t>
  </si>
  <si>
    <t>SHIBANI MAJUMDAR</t>
  </si>
  <si>
    <t>https://suvidha.eci.gov.in/ac/public/uploads2/candprofile/E32/2026/AC/s25/SHIBA-2026-20260402044216.jpg</t>
  </si>
  <si>
    <t>SWARNENDU SINHA</t>
  </si>
  <si>
    <t>https://suvidha.eci.gov.in/ac/public/uploads2/candprofile/E32/2026/AC/s25/SWARN-2026-20260407034534.jpg</t>
  </si>
  <si>
    <t>SATYAJIT POLLEY</t>
  </si>
  <si>
    <t>https://suvidha.eci.gov.in/ac/public/uploads2/candprofile/E32/2026/AC/s25/SATYA-2026-20260409092028.jpg</t>
  </si>
  <si>
    <t>PARESH CHANDRA BAG</t>
  </si>
  <si>
    <t>https://suvidha.eci.gov.in/ac/public/uploads2/candprofile/E32/2026/AC/s25/PARES-2026-20260410015642.jpg</t>
  </si>
  <si>
    <t>MD ABUL HASAN GAYEN</t>
  </si>
  <si>
    <t>https://suvidha.eci.gov.in/ac/public/uploads2/candprofile/E32/2026/AC/s25/MDABU-2026-20260409014434.jpg</t>
  </si>
  <si>
    <t>JAKIR  HOSSAIN MONDAL</t>
  </si>
  <si>
    <t>https://suvidha.eci.gov.in/ac/public/uploads2/candprofile/E32/2026/AC/s25/JAKIR-2026-20260409014818.jpg</t>
  </si>
  <si>
    <t>SUBRATA BISWAS</t>
  </si>
  <si>
    <t>https://suvidha.eci.gov.in/ac/public/uploads2/candprofile/E32/2026/AC/s25/SUBRA-2026-20260407035648.jpg</t>
  </si>
  <si>
    <t>PRITI DEVI</t>
  </si>
  <si>
    <t>https://suvidha.eci.gov.in/ac/public/uploads2/candprofile/E32/2026/AC/s25/PRITI-2026-20260408070439.jpg</t>
  </si>
  <si>
    <t>Ramprasad Mistry</t>
  </si>
  <si>
    <t>https://suvidha.eci.gov.in/ac/public/uploads2/candprofile/E32/2026/AC/s25/Rampr-2026-20260402052958.jpg</t>
  </si>
  <si>
    <t>SADANANDA RAJAK</t>
  </si>
  <si>
    <t>https://suvidha.eci.gov.in/ac/public/uploads2/candprofile/E32/2026/AC/s25/SADAN-2026-20260409020742.jpg</t>
  </si>
  <si>
    <t>SAIFUDDIN MONDAL</t>
  </si>
  <si>
    <t>https://suvidha.eci.gov.in/ac/public/uploads2/candprofile/E32/2026/AC/s25/SAIFU-2026-20260409071340.jpg</t>
  </si>
  <si>
    <t>JAYANTI MITRA</t>
  </si>
  <si>
    <t>https://suvidha.eci.gov.in/ac/public/uploads2/candprofile/E32/2026/AC/s25/JAYAN-2026-20260402074732.jpg</t>
  </si>
  <si>
    <t>HIMANTI DAS</t>
  </si>
  <si>
    <t>https://suvidha.eci.gov.in/ac/public/uploads2/candprofile/E32/2026/AC/s25/HIMAN-2026-20260408071214.jpg</t>
  </si>
  <si>
    <t>SAYAN BANERJEE</t>
  </si>
  <si>
    <t>https://suvidha.eci.gov.in/ac/public/uploads2/candprofile/E32/2026/AC/S25/SAYAN-2026-20260406053640.jpg</t>
  </si>
  <si>
    <t>TAPAS BANERJEE</t>
  </si>
  <si>
    <t>https://suvidha.eci.gov.in/ac/public/uploads2/candprofile/E32/2026/AC/s25/TAPAS-2026-20260408043128.jpg</t>
  </si>
  <si>
    <t>PRONOB BHATTACHARYYA</t>
  </si>
  <si>
    <t>https://suvidha.eci.gov.in/ac/public/uploads2/candprofile/E32/2026/AC/s25/PRONO-2026-20260409031050.jpg</t>
  </si>
  <si>
    <t>MRINAL BISWAS (MINI)</t>
  </si>
  <si>
    <t>https://suvidha.eci.gov.in/ac/public/uploads2/candprofile/E32/2026/AC/S25/MRINA-2026-20260407045033.jpg</t>
  </si>
  <si>
    <t>SUDIP DAS</t>
  </si>
  <si>
    <t>https://suvidha.eci.gov.in/ac/public/uploads2/candprofile/E32/2026/AC/s25/SUDIP-2026-20260407062315.jpg</t>
  </si>
  <si>
    <t>RASH BIHARI  HALDER</t>
  </si>
  <si>
    <t>https://suvidha.eci.gov.in/ac/public/uploads2/candprofile/E32/2026/AC/s25/RASHB-2026-20260408043333.jpg</t>
  </si>
  <si>
    <t>MANAS GHOSH</t>
  </si>
  <si>
    <t>https://suvidha.eci.gov.in/ac/public/uploads2/candprofile/E32/2026/AC/s25/MANAS-2026-20260406050007.jpg</t>
  </si>
  <si>
    <t>SAMAR HAZRA</t>
  </si>
  <si>
    <t>https://suvidha.eci.gov.in/ac/public/uploads2/candprofile/E32/2026/AC/s25/SAMAR-2026-20260406013105.jpg</t>
  </si>
  <si>
    <t>SARMISTHA PURKAIT</t>
  </si>
  <si>
    <t>https://suvidha.eci.gov.in/ac/public/uploads2/candprofile/E32/2026/AC/s25/SARMI-2026-20260406050029.jpg</t>
  </si>
  <si>
    <t>ALOK DALAPATI</t>
  </si>
  <si>
    <t>https://suvidha.eci.gov.in/ac/public/uploads2/candprofile/E32/2026/AC/S25/ALOKK-2026-20260402043942.jpg</t>
  </si>
  <si>
    <t>RAJU PATRA</t>
  </si>
  <si>
    <t>https://suvidha.eci.gov.in/ac/public/uploads2/candprofile/E32/2026/AC/S25/RAJUP-2026-20260413064313.jpg</t>
  </si>
  <si>
    <t>HASINA KHATUN</t>
  </si>
  <si>
    <t>https://suvidha.eci.gov.in/ac/public/uploads2/candprofile/E32/2026/AC/s25/HASIN-2026-20260406055145.jpg</t>
  </si>
  <si>
    <t>SHISHIR GHOSH</t>
  </si>
  <si>
    <t>https://suvidha.eci.gov.in/ac/public/uploads2/candprofile/E32/2026/AC/S25/SHISH-2026-20260408072515.jpg</t>
  </si>
  <si>
    <t>SOHAM CHAKRABORTY</t>
  </si>
  <si>
    <t>https://suvidha.eci.gov.in/ac/public/uploads2/candprofile/E32/2026/AC/S25/SOHAM-2026-20260407071159.jpg</t>
  </si>
  <si>
    <t>SUSHIL SANTRA</t>
  </si>
  <si>
    <t>https://suvidha.eci.gov.in/ac/public/uploads2/candprofile/E32/2026/AC/s25/SUSHI-2026-20260407042907.jpg</t>
  </si>
  <si>
    <t>SOMA THAKUR</t>
  </si>
  <si>
    <t>https://suvidha.eci.gov.in/ac/public/uploads2/candprofile/E32/2026/AC/S25/SOMAT-2026-20260413050227.jpg</t>
  </si>
  <si>
    <t>SUDIPTA GUPTA</t>
  </si>
  <si>
    <t>https://suvidha.eci.gov.in/ac/public/uploads2/candprofile/E32/2026/AC/S25/SUDIP-2026-20260406032725.jpg</t>
  </si>
  <si>
    <t>MANASA METE</t>
  </si>
  <si>
    <t>https://suvidha.eci.gov.in/ac/public/uploads2/candprofile/E32/2026/AC/s25/MANAS-2026-20260404061728.jpg</t>
  </si>
  <si>
    <t>SWAPAN KUMAR DAS</t>
  </si>
  <si>
    <t>https://suvidha.eci.gov.in/ac/public/uploads2/candprofile/E32/2026/AC/s25/SWAPA-2026-20260406085348.jpg</t>
  </si>
  <si>
    <t>ADWAITYA JOTDAR</t>
  </si>
  <si>
    <t>Revolutionary Socialist Party</t>
  </si>
  <si>
    <t>https://suvidha.eci.gov.in/ac/public/uploads2/candprofile/E32/2026/AC/s25/ADWAI-2026-20260406061546.jpg</t>
  </si>
  <si>
    <t>SAMS MUSHAFIR</t>
  </si>
  <si>
    <t>https://suvidha.eci.gov.in/ac/public/uploads2/candprofile/E32/2026/AC/s25/SAMSM-2026-20260402075601.jpg</t>
  </si>
  <si>
    <t>ABDUL AZIZ AL HASSAN</t>
  </si>
  <si>
    <t>https://suvidha.eci.gov.in/ac/public/uploads2/candprofile/E32/2026/AC/s25/ABDUL-2026-20260404040132.jpg</t>
  </si>
  <si>
    <t>SANKAR DEB MONDAL</t>
  </si>
  <si>
    <t>https://suvidha.eci.gov.in/ac/public/uploads2/candprofile/E32/2026/AC/s25/SANKA-2026-20260406052846.jpg</t>
  </si>
  <si>
    <t>CHANDRAKANTA ROY</t>
  </si>
  <si>
    <t>https://suvidha.eci.gov.in/ac/public/uploads2/candprofile/E32/2026/AC/s25/CHAND-2026-20260408073006.jpg</t>
  </si>
  <si>
    <t>ARCHANA BHATTACHARJEE</t>
  </si>
  <si>
    <t>https://suvidha.eci.gov.in/ac/public/uploads2/candprofile/E32/2026/AC/s25/ARCHA-2026-20260407043641.jpg</t>
  </si>
  <si>
    <t>DEBASISH BHADRA</t>
  </si>
  <si>
    <t>Right to Recall Party</t>
  </si>
  <si>
    <t>https://suvidha.eci.gov.in/ac/public/uploads2/candprofile/E32/2026/AC/s25/DEBAS-2026-20260409073711.jpg</t>
  </si>
  <si>
    <t>HARICHAND MAJUMDAR</t>
  </si>
  <si>
    <t>https://suvidha.eci.gov.in/ac/public/uploads2/candprofile/E32/2026/AC/S25/HARIC-2026-20260410042847.jpg</t>
  </si>
  <si>
    <t>JIYADUL SEKH</t>
  </si>
  <si>
    <t>https://suvidha.eci.gov.in/ac/public/uploads2/candprofile/E32/2026/AC/s25/JIYAD-2026-20260406035918.jpg</t>
  </si>
  <si>
    <t>ASHOK KUMAR MONDAL</t>
  </si>
  <si>
    <t>https://suvidha.eci.gov.in/ac/public/uploads2/candprofile/E32/2026/AC/s25/ASHOK-2026-20260409074655.jpg</t>
  </si>
  <si>
    <t>SOMNATH DUTTA</t>
  </si>
  <si>
    <t>https://suvidha.eci.gov.in/ac/public/uploads2/candprofile/E32/2026/AC/s25/SOMNA-2026-20260410114947.jpg</t>
  </si>
  <si>
    <t>ABDUL MALEQUE MOLLA</t>
  </si>
  <si>
    <t>https://suvidha.eci.gov.in/ac/public/uploads2/candprofile/E32/2026/AC/s25/MDAB-2026-20260404055147.jpg</t>
  </si>
  <si>
    <t>SAIKAT PANJA</t>
  </si>
  <si>
    <t>https://suvidha.eci.gov.in/ac/public/uploads2/candprofile/E32/2026/AC/s25/SAIKA-2026-20260406040008.jpg</t>
  </si>
  <si>
    <t>TAPAN CHOWDHURI</t>
  </si>
  <si>
    <t>https://suvidha.eci.gov.in/ac/public/uploads2/candprofile/E32/2026/AC/s25/TAPAN-2026-20260404065221.jpg</t>
  </si>
  <si>
    <t>MD NAWSAD SIDDIQUE</t>
  </si>
  <si>
    <t>https://suvidha.eci.gov.in/ac/public/uploads2/candprofile/E32/2026/AC/s25/MDNAW-2026-20260404045058.jpg</t>
  </si>
  <si>
    <t>SWAPAN MAJUMDER</t>
  </si>
  <si>
    <t>https://suvidha.eci.gov.in/ac/public/uploads2/candprofile/E32/2026/AC/S25/SWAPA-2026-20260413040138.jpg</t>
  </si>
  <si>
    <t>MILAN BISWAS</t>
  </si>
  <si>
    <t>https://suvidha.eci.gov.in/ac/public/uploads2/candprofile/E32/2026/AC/s25/MILAN-2026-20260402080748.jpg</t>
  </si>
  <si>
    <t>DILIP GAYEN</t>
  </si>
  <si>
    <t>Mulnibasi Party of India</t>
  </si>
  <si>
    <t>https://suvidha.eci.gov.in/ac/public/uploads2/candprofile/E32/2026/AC/s25/DILIP-2026-20260407065605.jpg</t>
  </si>
  <si>
    <t>UTTAM PAL</t>
  </si>
  <si>
    <t>https://suvidha.eci.gov.in/ac/public/uploads2/candprofile/E32/2026/AC/s25/UTTAM-2026-20260404055324.jpg</t>
  </si>
  <si>
    <t>PRASENJIT SANTRA</t>
  </si>
  <si>
    <t>https://suvidha.eci.gov.in/ac/public/uploads2/candprofile/E32/2026/AC/s25/PRASE-2026-20260409095840.jpg</t>
  </si>
  <si>
    <t>DEBAJYOTI MAJUMDER</t>
  </si>
  <si>
    <t>https://suvidha.eci.gov.in/ac/public/uploads2/candprofile/E32/2026/AC/S25/DEBAJ-2026-20260407050454.jpg</t>
  </si>
  <si>
    <t>RAM RAMISHWAR</t>
  </si>
  <si>
    <t>https://suvidha.eci.gov.in/ac/public/uploads2/candprofile/E32/2026/AC/S25/RAMRA-2026-20260408052509.jpg</t>
  </si>
  <si>
    <t>Ashish Chandra Gupta</t>
  </si>
  <si>
    <t>Hindu Samaj Party</t>
  </si>
  <si>
    <t>https://suvidha.eci.gov.in/ac/public/uploads2/candprofile/E32/2026/AC/s25/Ashis-2026-20260408074526.jpg</t>
  </si>
  <si>
    <t>SISIR KUMAR ROY</t>
  </si>
  <si>
    <t>https://suvidha.eci.gov.in/ac/public/uploads2/candprofile/E32/2026/AC/S25/SISIR-2026-20260402065435.jpg</t>
  </si>
  <si>
    <t>BECHARAM MANNA</t>
  </si>
  <si>
    <t>https://suvidha.eci.gov.in/ac/public/uploads2/candprofile/E32/2026/AC/s25/BECHA-2026-20260406014241.jpg</t>
  </si>
  <si>
    <t>RATHIN GHOSH</t>
  </si>
  <si>
    <t>https://suvidha.eci.gov.in/ac/public/uploads2/candprofile/E32/2026/AC/s25/RATHI-2026-20260406040427.jpg</t>
  </si>
  <si>
    <t>BABAN GHOSH</t>
  </si>
  <si>
    <t>https://suvidha.eci.gov.in/ac/public/uploads2/candprofile/E32/2026/AC/s25/BABAN-2026-20260409053617.jpg</t>
  </si>
  <si>
    <t>RITA GHOSHAL</t>
  </si>
  <si>
    <t>https://suvidha.eci.gov.in/ac/public/uploads2/candprofile/E32/2026/AC/s25/RITAG-2026-20260404045348.jpg</t>
  </si>
  <si>
    <t>SHRABANTI SINGH</t>
  </si>
  <si>
    <t>https://suvidha.eci.gov.in/ac/public/uploads2/candprofile/E32/2026/AC/s25/SHRAB-2026-20260407050144.jpg</t>
  </si>
  <si>
    <t>GOURANGA KHATUA</t>
  </si>
  <si>
    <t>https://suvidha.eci.gov.in/ac/public/uploads2/candprofile/E32/2026/AC/S25/GOURA-2026-20260410052933.jpg</t>
  </si>
  <si>
    <t>SHYAMAL DAL</t>
  </si>
  <si>
    <t>https://suvidha.eci.gov.in/ac/public/uploads2/candprofile/E32/2026/AC/s25/SHYAM-2026-20260406040529.jpg</t>
  </si>
  <si>
    <t>MD LAHEK ALI</t>
  </si>
  <si>
    <t>https://suvidha.eci.gov.in/ac/public/uploads2/candprofile/E32/2026/AC/s25/MDLAH-2026-20260407070741.jpg</t>
  </si>
  <si>
    <t>SUJATA SARKAR</t>
  </si>
  <si>
    <t>https://suvidha.eci.gov.in/ac/public/uploads2/candprofile/E32/2026/AC/s25/SUJAT-2026-20260409100357.jpg</t>
  </si>
  <si>
    <t>NILRATAN BISWAS</t>
  </si>
  <si>
    <t>https://suvidha.eci.gov.in/ac/public/uploads2/candprofile/E32/2026/AC/s25/NILRA-2026-20260402055322.jpg</t>
  </si>
  <si>
    <t>SABUJ DAS</t>
  </si>
  <si>
    <t>https://suvidha.eci.gov.in/ac/public/uploads2/candprofile/E32/2026/AC/s25/SABUJ-2026-20260404052414.jpg</t>
  </si>
  <si>
    <t>https://suvidha.eci.gov.in/ac/public/uploads2/candprofile/E32/2026/AC/s25/SANKA-2026-20260409100643.jpg</t>
  </si>
  <si>
    <t>ANANYA NASKAR</t>
  </si>
  <si>
    <t>https://suvidha.eci.gov.in/ac/public/uploads2/candprofile/E32/2026/AC/s25/ANANY-2026-20260404041254.jpg</t>
  </si>
  <si>
    <t>SANJEEB SANTARA</t>
  </si>
  <si>
    <t>https://suvidha.eci.gov.in/ac/public/uploads2/candprofile/E32/2026/AC/S25/SANJE-2026-20260402043346.jpg</t>
  </si>
  <si>
    <t>RABIN BASKEY</t>
  </si>
  <si>
    <t>Ambedkarite Party of India</t>
  </si>
  <si>
    <t>https://suvidha.eci.gov.in/ac/public/uploads2/candprofile/E32/2026/AC/S25/RABIN-2026-20260410063738.jpg</t>
  </si>
  <si>
    <t>BISWANATH BERA</t>
  </si>
  <si>
    <t>https://suvidha.eci.gov.in/ac/public/uploads2/candprofile/E32/2026/AC/s25/BISWA-2026-20260402055446.jpg</t>
  </si>
  <si>
    <t>MANAS SINHA ROY</t>
  </si>
  <si>
    <t>https://suvidha.eci.gov.in/ac/public/uploads2/candprofile/E32/2026/AC/s25/MANAS-2026-20260407051016.jpg</t>
  </si>
  <si>
    <t>RAMJIBAN RAY</t>
  </si>
  <si>
    <t>https://suvidha.eci.gov.in/ac/public/uploads2/candprofile/E32/2026/AC/s25/RAMJI-2026-20260406040754.jpg</t>
  </si>
  <si>
    <t>BIPLAB MAZUMDER</t>
  </si>
  <si>
    <t>https://suvidha.eci.gov.in/ac/public/uploads2/candprofile/E32/2026/AC/s25/BIPLA-2026-20260407045739.jpg</t>
  </si>
  <si>
    <t>SUPRIYA BHATTACHARYA</t>
  </si>
  <si>
    <t>https://suvidha.eci.gov.in/ac/public/uploads2/candprofile/E32/2026/AC/s25/SUPRI-2026-20260402065330.jpg</t>
  </si>
  <si>
    <t>UMA PANDA</t>
  </si>
  <si>
    <t>https://suvidha.eci.gov.in/ac/public/uploads2/candprofile/E32/2026/AC/s25/UMAPA-2026-20260402083225.jpg</t>
  </si>
  <si>
    <t>SAIBAL RAY</t>
  </si>
  <si>
    <t>https://suvidha.eci.gov.in/ac/public/uploads2/candprofile/E32/2026/AC/s25/SHAIB-2026-20260408081246.jpg</t>
  </si>
  <si>
    <t>KOUSIK NASKAR</t>
  </si>
  <si>
    <t>https://suvidha.eci.gov.in/ac/public/uploads2/candprofile/E32/2026/AC/s25/KOUSI-2026-20260409055508.jpg</t>
  </si>
  <si>
    <t>SEKH SAJID</t>
  </si>
  <si>
    <t>https://suvidha.eci.gov.in/ac/public/uploads2/candprofile/E32/2026/AC/s25/SEKHS-2026-20260410014442.jpg</t>
  </si>
  <si>
    <t>ANINDYA RAY CHAUDHURY</t>
  </si>
  <si>
    <t>https://suvidha.eci.gov.in/ac/public/uploads2/candprofile/E32/2026/AC/s25/ANIND-2026-20260402065748.jpg</t>
  </si>
  <si>
    <t>SANAT MUNDA</t>
  </si>
  <si>
    <t>https://suvidha.eci.gov.in/ac/public/uploads2/candprofile/E32/2026/AC/S25/SANAT-2026-20260409123807.jpg</t>
  </si>
  <si>
    <t>BASIRUJJAMAN KAYAL</t>
  </si>
  <si>
    <t>https://suvidha.eci.gov.in/ac/public/uploads2/candprofile/E32/2026/AC/s25/BASIR-2026-20260409060259.jpg</t>
  </si>
  <si>
    <t>GORA JAMADAR</t>
  </si>
  <si>
    <t>https://suvidha.eci.gov.in/ac/public/uploads2/candprofile/E32/2026/AC/s25/GORAJ-2026-20260402050606.jpg</t>
  </si>
  <si>
    <t>NIRENDRANATH KARMAKAR</t>
  </si>
  <si>
    <t>https://suvidha.eci.gov.in/ac/public/uploads2/candprofile/E32/2026/AC/s25/NIREN-2026-20260402050611.jpg</t>
  </si>
  <si>
    <t>KAUSHIK MONDAL</t>
  </si>
  <si>
    <t>https://suvidha.eci.gov.in/ac/public/uploads2/candprofile/E32/2026/AC/s25/KAUSH-2026-20260409082516.jpg</t>
  </si>
  <si>
    <t>SAHAJADI PARVIN</t>
  </si>
  <si>
    <t>https://suvidha.eci.gov.in/ac/public/uploads2/candprofile/E32/2026/AC/s25/SAHAJ-2026-20260406062415.jpg</t>
  </si>
  <si>
    <t>SUCHAND DAS</t>
  </si>
  <si>
    <t>https://suvidha.eci.gov.in/ac/public/uploads2/candprofile/E32/2026/AC/s25/SUCHA-2026-20260409060616.jpg</t>
  </si>
  <si>
    <t>AJAZ AHMED ANSARI</t>
  </si>
  <si>
    <t>https://suvidha.eci.gov.in/ac/public/uploads2/candprofile/E32/2026/AC/S25/AJAZA-2026-20260410020027.jpg</t>
  </si>
  <si>
    <t>HENA PARVEEN</t>
  </si>
  <si>
    <t>Samata Party</t>
  </si>
  <si>
    <t>https://suvidha.eci.gov.in/ac/public/uploads2/candprofile/E32/2026/AC/s25/HENAP-2026-20260409060752.jpg</t>
  </si>
  <si>
    <t>NILKAMAL DAS</t>
  </si>
  <si>
    <t>https://suvidha.eci.gov.in/ac/public/uploads2/candprofile/E32/2026/AC/s25/NILKA-2026-20260409060914.jpg</t>
  </si>
  <si>
    <t>LABANI MAJHI</t>
  </si>
  <si>
    <t>https://suvidha.eci.gov.in/ac/public/uploads2/candprofile/E32/2026/AC/S25/LABAN-2026-20260410023755.jpg</t>
  </si>
  <si>
    <t>RABINDRA NATH BARAI</t>
  </si>
  <si>
    <t>https://suvidha.eci.gov.in/ac/public/uploads2/candprofile/E32/2026/AC/S25/RABIN-2026-20260413034920.jpg</t>
  </si>
  <si>
    <t>PRABIR SEAL</t>
  </si>
  <si>
    <t>https://suvidha.eci.gov.in/ac/public/uploads2/candprofile/E32/2026/AC/s25/PRABI-2026-20260402070502.jpg</t>
  </si>
  <si>
    <t>ABHIJIT HAZRA</t>
  </si>
  <si>
    <t>https://suvidha.eci.gov.in/ac/public/uploads2/candprofile/E32/2026/AC/s25/ABHIJ-2026-20260409104453.jpg</t>
  </si>
  <si>
    <t>SUKANTA ROY</t>
  </si>
  <si>
    <t>https://suvidha.eci.gov.in/ac/public/uploads2/candprofile/E32/2026/AC/S25/SUKAN-2026-20260409063537.jpg</t>
  </si>
  <si>
    <t>ANUPAM MALIK</t>
  </si>
  <si>
    <t>https://suvidha.eci.gov.in/ac/public/uploads2/candprofile/E32/2026/AC/s25/ANUPA-2026-20260409083706.jpg</t>
  </si>
  <si>
    <t>BIJOY GHORAI</t>
  </si>
  <si>
    <t>https://suvidha.eci.gov.in/ac/public/uploads2/candprofile/E32/2026/AC/s25/BIJOY-2026-20260408083918.jpg</t>
  </si>
  <si>
    <t>BIPLOB MITRA</t>
  </si>
  <si>
    <t>https://suvidha.eci.gov.in/ac/public/uploads2/candprofile/E32/2026/AC/s25/BIPLO-2026-20260408060446.jpg</t>
  </si>
  <si>
    <t>BAPPA SK</t>
  </si>
  <si>
    <t>https://suvidha.eci.gov.in/ac/public/uploads2/candprofile/E32/2026/AC/s25/BAPPA-2026-20260409061909.jpg</t>
  </si>
  <si>
    <t>SUJIT NASKAR</t>
  </si>
  <si>
    <t>https://suvidha.eci.gov.in/ac/public/uploads2/candprofile/E32/2026/AC/s25/SUJIT-2026-20260409084238.jpg</t>
  </si>
  <si>
    <t>SUBHARANJAN SHIKARI</t>
  </si>
  <si>
    <t>https://suvidha.eci.gov.in/ac/public/uploads2/candprofile/E32/2026/AC/S25/SUBHA-2026-20260410050259.jpg</t>
  </si>
  <si>
    <t>SAMSUL HOQUE SEIKH</t>
  </si>
  <si>
    <t>https://suvidha.eci.gov.in/ac/public/uploads2/candprofile/E32/2026/AC/s25/SAMSU-2026-20260409062528.jpg</t>
  </si>
  <si>
    <t>ASISH SAMANTA</t>
  </si>
  <si>
    <t>https://suvidha.eci.gov.in/ac/public/uploads2/candprofile/E32/2026/AC/s25/ASISH-2026-20260402070850.jpg</t>
  </si>
  <si>
    <t>MOZAMMEL HOSSAIN MONDAL (BALA)</t>
  </si>
  <si>
    <t>https://suvidha.eci.gov.in/ac/public/uploads2/candprofile/E32/2026/AC/s25/MOZAM-2026-20260404053418.jpg</t>
  </si>
  <si>
    <t>PINTU KARAR</t>
  </si>
  <si>
    <t>https://suvidha.eci.gov.in/ac/public/uploads2/candprofile/E32/2026/AC/s25/PINTU-2026-20260408084757.jpg</t>
  </si>
  <si>
    <t>AHAMED ALAMGIR MIDDYA</t>
  </si>
  <si>
    <t>https://suvidha.eci.gov.in/ac/public/uploads2/candprofile/E32/2026/AC/S25/AHAME-2026-20260408085346.jpg</t>
  </si>
  <si>
    <t>SARAT MUKHERJEE</t>
  </si>
  <si>
    <t>https://suvidha.eci.gov.in/ac/public/uploads2/candprofile/E32/2026/AC/s25/SARAT-2026-20260408085050.jpg</t>
  </si>
  <si>
    <t>PRANATI PAUL</t>
  </si>
  <si>
    <t>https://suvidha.eci.gov.in/ac/public/uploads2/candprofile/E32/2026/AC/s25/PRANA-2026-20260409110351.jpg</t>
  </si>
  <si>
    <t>SK MUJIBAR RAHAMAN</t>
  </si>
  <si>
    <t>https://suvidha.eci.gov.in/ac/public/uploads2/candprofile/E32/2026/AC/S25/SKMUJ-2026-20260410062620.jpg</t>
  </si>
  <si>
    <t>SHA ALAM</t>
  </si>
  <si>
    <t>https://suvidha.eci.gov.in/ac/public/uploads2/candprofile/E32/2026/AC/S25/SHAAL-2026-20260410121731.jpg</t>
  </si>
  <si>
    <t>NITYANANDA GHOSH</t>
  </si>
  <si>
    <t>https://suvidha.eci.gov.in/ac/public/uploads2/candprofile/E32/2026/AC/S25/NITYA-2026-20260404044443.jpg</t>
  </si>
  <si>
    <t>MD. KUTUBUDDIN FATEHE</t>
  </si>
  <si>
    <t>https://suvidha.eci.gov.in/ac/public/uploads2/candprofile/E32/2026/AC/S25/MDKUT-2026-20260408011804.jpg</t>
  </si>
  <si>
    <t>SAMIR MAITI</t>
  </si>
  <si>
    <t>https://suvidha.eci.gov.in/ac/public/uploads2/candprofile/E32/2026/AC/S25/SAMIR-2026-20260410011313.jpg</t>
  </si>
  <si>
    <t>AMIT SARKAR</t>
  </si>
  <si>
    <t>Rashtriya Lok Janshakti Party</t>
  </si>
  <si>
    <t>https://suvidha.eci.gov.in/ac/public/uploads2/candprofile/E32/2026/AC/s25/AMITS-2026-20260409085455.jpg</t>
  </si>
  <si>
    <t>MOHIT KAR</t>
  </si>
  <si>
    <t>Indian Unity Centre</t>
  </si>
  <si>
    <t>https://suvidha.eci.gov.in/ac/public/uploads2/candprofile/E32/2026/AC/s25/MOHIT-2026-20260408061616.jpg</t>
  </si>
  <si>
    <t>PALASH KR MONDAL</t>
  </si>
  <si>
    <t>https://suvidha.eci.gov.in/ac/public/uploads2/candprofile/E32/2026/AC/s25/PALAS-2026-20260408061733.jpg</t>
  </si>
  <si>
    <t>ASHOKE KUMAR GAYEN</t>
  </si>
  <si>
    <t>https://suvidha.eci.gov.in/ac/public/uploads2/candprofile/E32/2026/AC/s25/ASHOK-2026-20260404042937.jpg</t>
  </si>
  <si>
    <t>Kumud Mondal</t>
  </si>
  <si>
    <t>https://suvidha.eci.gov.in/ac/public/uploads2/candprofile/E32/2026/AC/s25/Kumud-2026-20260407114916.jpg</t>
  </si>
  <si>
    <t>MANIKA MUKHERJEE</t>
  </si>
  <si>
    <t>https://suvidha.eci.gov.in/ac/public/uploads2/candprofile/E32/2026/AC/s25/MANIK-2026-20260409112322.jpg</t>
  </si>
  <si>
    <t>KARTICK SHIL</t>
  </si>
  <si>
    <t>https://suvidha.eci.gov.in/ac/public/uploads2/candprofile/E32/2026/AC/s25/KARTI-2026-20260404043122.jpg</t>
  </si>
  <si>
    <t>CHHADEK MONDAL</t>
  </si>
  <si>
    <t>https://suvidha.eci.gov.in/ac/public/uploads2/candprofile/E32/2026/AC/S25/CHHAD-2026-20260407115221.jpg</t>
  </si>
  <si>
    <t>SAMAR BISWAS</t>
  </si>
  <si>
    <t>https://suvidha.eci.gov.in/ac/public/uploads2/candprofile/E32/2026/AC/s25/SAMAR-2026-20260406075641.jpg</t>
  </si>
  <si>
    <t>SK MASAREKUL ANOWAR</t>
  </si>
  <si>
    <t>https://suvidha.eci.gov.in/ac/public/uploads2/candprofile/E32/2026/AC/s25/SKMAS-2026-20260409064559.jpg</t>
  </si>
  <si>
    <t>ATASI PAKREY</t>
  </si>
  <si>
    <t>https://suvidha.eci.gov.in/ac/public/uploads2/candprofile/E32/2026/AC/s25/ATASI-2026-20260404034026.jpg</t>
  </si>
  <si>
    <t>NANI GOPAL MISTRY</t>
  </si>
  <si>
    <t>https://suvidha.eci.gov.in/ac/public/uploads2/candprofile/E32/2026/AC/S25/NANIG-2026-20260406074300.jpg</t>
  </si>
  <si>
    <t>SIMA PAL</t>
  </si>
  <si>
    <t>https://suvidha.eci.gov.in/ac/public/uploads2/candprofile/E32/2026/AC/s25/SIMAP-2026-20260409064655.jpg</t>
  </si>
  <si>
    <t>MD IMTIYAZ ALAM</t>
  </si>
  <si>
    <t>https://suvidha.eci.gov.in/ac/public/uploads2/candprofile/E32/2026/AC/s25/MDIMT-2026-20260409113707.jpg</t>
  </si>
  <si>
    <t>ANUPAM PANI</t>
  </si>
  <si>
    <t>https://suvidha.eci.gov.in/ac/public/uploads2/candprofile/E32/2026/AC/S25/ANUPA-2026-20260406122734.jpg</t>
  </si>
  <si>
    <t>RAFIQUE AKUNJI</t>
  </si>
  <si>
    <t>https://suvidha.eci.gov.in/ac/public/uploads2/candprofile/E32/2026/AC/s25/RAFIQ-2026-20260409090246.jpg</t>
  </si>
  <si>
    <t>GANESHLAL GUPTA</t>
  </si>
  <si>
    <t>https://suvidha.eci.gov.in/ac/public/uploads2/candprofile/E32/2026/AC/s25/GANES-2026-20260407054717.jpg</t>
  </si>
  <si>
    <t>SAJAL BISWAS</t>
  </si>
  <si>
    <t>https://suvidha.eci.gov.in/ac/public/uploads2/candprofile/E32/2026/AC/S25/SAJAL-2026-20260407023333.jpg</t>
  </si>
  <si>
    <t>ABHIJIT DAS</t>
  </si>
  <si>
    <t>https://suvidha.eci.gov.in/ac/public/uploads2/candprofile/E32/2026/AC/s25/ABHIJ-2026-20260409114408.jpg</t>
  </si>
  <si>
    <t>NARAYAN HALDAR</t>
  </si>
  <si>
    <t>https://suvidha.eci.gov.in/ac/public/uploads2/candprofile/E32/2026/AC/s25/NARAY-2026-20260402072643.jpg</t>
  </si>
  <si>
    <t>YEAMIN LASKAR</t>
  </si>
  <si>
    <t>https://suvidha.eci.gov.in/ac/public/uploads2/candprofile/E32/2026/AC/s25/YEAMI-2026-20260409065711.jpg</t>
  </si>
  <si>
    <t>APARNA GUHA</t>
  </si>
  <si>
    <t>https://suvidha.eci.gov.in/ac/public/uploads2/candprofile/E32/2026/AC/s25/APARN-2026-20260406071657.jpg</t>
  </si>
  <si>
    <t>KRISHANU NAG</t>
  </si>
  <si>
    <t>https://suvidha.eci.gov.in/ac/public/uploads2/candprofile/E32/2026/AC/s25/KRISH-2026-20260408100854.jpg</t>
  </si>
  <si>
    <t>JEBUNNESSA MUNSHI</t>
  </si>
  <si>
    <t>https://suvidha.eci.gov.in/ac/public/uploads2/candprofile/E32/2026/AC/s25/JEBUN-2026-20260408100947.jpg</t>
  </si>
  <si>
    <t>BIJOY KUMAR MAJHI</t>
  </si>
  <si>
    <t>https://suvidha.eci.gov.in/ac/public/uploads2/candprofile/E32/2026/AC/s25/BIJOY-2026-20260409091302.jpg</t>
  </si>
  <si>
    <t>PRIYANKA CHOUDHURY</t>
  </si>
  <si>
    <t>https://suvidha.eci.gov.in/ac/public/uploads2/candprofile/E32/2026/AC/S25/PRIYA-2026-20260409121320.jpg</t>
  </si>
  <si>
    <t>SUKDEB BISWAS</t>
  </si>
  <si>
    <t>https://suvidha.eci.gov.in/ac/public/uploads2/candprofile/E32/2026/AC/S25/SUKDE-2026-20260410042741.jpg</t>
  </si>
  <si>
    <t>JABA MALIK</t>
  </si>
  <si>
    <t>https://suvidha.eci.gov.in/ac/public/uploads2/candprofile/E32/2026/AC/s25/JABAM-2026-20260410013559.jpg</t>
  </si>
  <si>
    <t>DHANAPATI MONDAL</t>
  </si>
  <si>
    <t>https://suvidha.eci.gov.in/ac/public/uploads2/candprofile/E32/2026/AC/s25/DHANA-2026-20260406061214.jpg</t>
  </si>
  <si>
    <t>SUMITA BANERJEE</t>
  </si>
  <si>
    <t>https://suvidha.eci.gov.in/ac/public/uploads2/candprofile/E32/2026/AC/s25/SUMIT-2026-20260402044237.jpg</t>
  </si>
  <si>
    <t>NIHAR KUMAR HAZRA</t>
  </si>
  <si>
    <t>https://suvidha.eci.gov.in/ac/public/uploads2/candprofile/E32/2026/AC/s25/NIHAR-2026-20260408041011.jpg</t>
  </si>
  <si>
    <t>ASIT BARAN BISWAS</t>
  </si>
  <si>
    <t>https://suvidha.eci.gov.in/ac/public/uploads2/candprofile/E32/2026/AC/s25/ASITB-2026-20260404051106.jpg</t>
  </si>
  <si>
    <t>NIRANJAN NASKAR</t>
  </si>
  <si>
    <t>https://suvidha.eci.gov.in/ac/public/uploads2/candprofile/E32/2026/AC/s25/NIARA-2026-20260402062343.jpg</t>
  </si>
  <si>
    <t>SATYANARAYAN MONDAL</t>
  </si>
  <si>
    <t>https://suvidha.eci.gov.in/ac/public/uploads2/candprofile/E32/2026/AC/s25/SATYA-2026-20260402035648.jpg</t>
  </si>
  <si>
    <t>HEMANTA BAG</t>
  </si>
  <si>
    <t>https://suvidha.eci.gov.in/ac/public/uploads2/candprofile/E32/2026/AC/s25/HEMAN-2026-20260409071355.jpg</t>
  </si>
  <si>
    <t>AVHIJIT MUKHERJEE</t>
  </si>
  <si>
    <t>https://suvidha.eci.gov.in/ac/public/uploads2/candprofile/E32/2026/AC/S25/AVHIJ-2026-20260404041648.jpg</t>
  </si>
  <si>
    <t>GUNASINDHU HALDAR</t>
  </si>
  <si>
    <t>https://suvidha.eci.gov.in/ac/public/uploads2/candprofile/E32/2026/AC/s25/GUNAS-2026-20260402074200.jpg</t>
  </si>
  <si>
    <t>AVIJIT DAS</t>
  </si>
  <si>
    <t>https://suvidha.eci.gov.in/ac/public/uploads2/candprofile/E32/2026/AC/s25/AVIJI-2026-20260407061159.jpg</t>
  </si>
  <si>
    <t>https://suvidha.eci.gov.in/ac/public/uploads2/candprofile/E32/2026/AC/s25/SUJIT-2026-20260402053344.jpg</t>
  </si>
  <si>
    <t>JAGADISH MANDAL (JOGO)</t>
  </si>
  <si>
    <t>https://suvidha.eci.gov.in/ac/public/uploads2/candprofile/E32/2026/AC/S25/JAGAD-2026-20260407025858.jpg</t>
  </si>
  <si>
    <t>MOHAMMED ASLAM</t>
  </si>
  <si>
    <t>https://suvidha.eci.gov.in/ac/public/uploads2/candprofile/E32/2026/AC/s25/MOHAM-2026-20260408063630.jpg</t>
  </si>
  <si>
    <t>ABU HENA MOSTAFA KAMAL</t>
  </si>
  <si>
    <t>https://suvidha.eci.gov.in/ac/public/uploads2/candprofile/E32/2026/AC/s25/ABUHE-2026-20260409092618.jpg</t>
  </si>
  <si>
    <t>APURBA CHAKRABORTY</t>
  </si>
  <si>
    <t>https://suvidha.eci.gov.in/ac/public/uploads2/candprofile/E32/2026/AC/s25/APURB-2026-20260402035900.jpg</t>
  </si>
  <si>
    <t>FIRDAUS ALI MOLLA</t>
  </si>
  <si>
    <t>https://suvidha.eci.gov.in/ac/public/uploads2/candprofile/E32/2026/AC/S25/FIRDA-2026-20260408071536.jpg</t>
  </si>
  <si>
    <t>ZAKIR HUSSAIN</t>
  </si>
  <si>
    <t>https://suvidha.eci.gov.in/ac/public/uploads2/candprofile/E32/2026/AC/s25/ZAKIR-2026-20260408071331.jpg</t>
  </si>
  <si>
    <t>PRANKRISHNA BISWAS (BABU)</t>
  </si>
  <si>
    <t>https://suvidha.eci.gov.in/ac/public/uploads2/candprofile/E32/2026/AC/s25/PRANK-2026-20260407062240.jpg</t>
  </si>
  <si>
    <t>DEV KUMAR BISWAS</t>
  </si>
  <si>
    <t>https://suvidha.eci.gov.in/ac/public/uploads2/candprofile/E32/2026/AC/s25/DEVKU-2026-20260409031337.jpg</t>
  </si>
  <si>
    <t>AMLAN KRISHNA SARKAR</t>
  </si>
  <si>
    <t>https://suvidha.eci.gov.in/ac/public/uploads2/candprofile/E32/2026/AC/s25/AMLAN-2026-20260408071703.jpg</t>
  </si>
  <si>
    <t>SHYAMAL MONDAL</t>
  </si>
  <si>
    <t>https://suvidha.eci.gov.in/ac/public/uploads2/candprofile/E32/2026/AC/s25/SHYAM-2026-20260408071913.jpg</t>
  </si>
  <si>
    <t>MD SAMSUR ALI MALLICK</t>
  </si>
  <si>
    <t>https://suvidha.eci.gov.in/ac/public/uploads2/candprofile/E32/2026/AC/S25/MDSAM-2026-20260414035259.jpg</t>
  </si>
  <si>
    <t>JOYDEEP GAYEN</t>
  </si>
  <si>
    <t>https://suvidha.eci.gov.in/ac/public/uploads2/candprofile/E32/2026/AC/s25/JOYDE-2026-20260409032932.jpg</t>
  </si>
  <si>
    <t>RUHUL AMIN SARDAR</t>
  </si>
  <si>
    <t>https://suvidha.eci.gov.in/ac/public/uploads2/candprofile/E32/2026/AC/s25/RUHUL-2026-20260409093056.jpg</t>
  </si>
  <si>
    <t>SOMNATH NASKAR</t>
  </si>
  <si>
    <t>https://suvidha.eci.gov.in/ac/public/uploads2/candprofile/E32/2026/AC/s25/SOMNA-2026-20260402053858.jpg</t>
  </si>
  <si>
    <t>SWAPAN MONDAL</t>
  </si>
  <si>
    <t>https://suvidha.eci.gov.in/ac/public/uploads2/candprofile/E32/2026/AC/S25/SWAPA-2026-20260402045407.jpg</t>
  </si>
  <si>
    <t>RITWIK POLLEY</t>
  </si>
  <si>
    <t>https://suvidha.eci.gov.in/ac/public/uploads2/candprofile/E32/2026/AC/s25/RITWI-2026-20260409093317.jpg</t>
  </si>
  <si>
    <t>MOHIT DUBEY</t>
  </si>
  <si>
    <t>https://suvidha.eci.gov.in/ac/public/uploads2/candprofile/E32/2026/AC/S25/MOHIT-2026-20260409014038.jpg</t>
  </si>
  <si>
    <t>DIP HATI</t>
  </si>
  <si>
    <t>https://suvidha.eci.gov.in/ac/public/uploads2/candprofile/E32/2026/AC/s25/DIPHA-2026-20260408072245.jpg</t>
  </si>
  <si>
    <t>DEBASHISH MUKHERJEE</t>
  </si>
  <si>
    <t>https://suvidha.eci.gov.in/ac/public/uploads2/candprofile/E32/2026/AC/s25/DEBAS-2026-20260409040810.jpg</t>
  </si>
  <si>
    <t>JAMUNA TANTI</t>
  </si>
  <si>
    <t>https://suvidha.eci.gov.in/ac/public/uploads2/candprofile/E32/2026/AC/S25/JAMUN-2026-20260402051349.jpg</t>
  </si>
  <si>
    <t>ANAY SAHA</t>
  </si>
  <si>
    <t>https://suvidha.eci.gov.in/ac/public/uploads2/candprofile/E32/2026/AC/s25/ANAYS-2026-20260406072305.jpg</t>
  </si>
  <si>
    <t>PARAMITA DASGUPTA</t>
  </si>
  <si>
    <t>https://suvidha.eci.gov.in/ac/public/uploads2/candprofile/E32/2026/AC/s25/PARAM-2026-20260407063632.jpg</t>
  </si>
  <si>
    <t>MD. ABDULLAHIL MARUK</t>
  </si>
  <si>
    <t>https://suvidha.eci.gov.in/ac/public/uploads2/candprofile/E32/2026/AC/s25/MDAB-2026-20260409072928.jpg</t>
  </si>
  <si>
    <t>PRODYUT CHAKRABORTY</t>
  </si>
  <si>
    <t>https://suvidha.eci.gov.in/ac/public/uploads2/candprofile/E32/2026/AC/s25/PRODY-2026-20260406055247.jpg</t>
  </si>
  <si>
    <t>GOPAL CHANDRA SIL</t>
  </si>
  <si>
    <t>https://suvidha.eci.gov.in/ac/public/uploads2/candprofile/E32/2026/AC/s25/GOPAL-2026-20260408072748.jpg</t>
  </si>
  <si>
    <t>PULAKESH MONDAL</t>
  </si>
  <si>
    <t>https://suvidha.eci.gov.in/ac/public/uploads2/candprofile/E32/2026/AC/s25/PULAK-2026-20260409073013.jpg</t>
  </si>
  <si>
    <t>SK NOOR AMIN</t>
  </si>
  <si>
    <t>https://suvidha.eci.gov.in/ac/public/uploads2/candprofile/E32/2026/AC/s25/SKNO-2026-20260408072924.jpg</t>
  </si>
  <si>
    <t>UTTAM NASKAR</t>
  </si>
  <si>
    <t>https://suvidha.eci.gov.in/ac/public/uploads2/candprofile/E32/2026/AC/s25/UTTAM-2026-20260407043531.jpg</t>
  </si>
  <si>
    <t>KASHINATH SHAW</t>
  </si>
  <si>
    <t>https://suvidha.eci.gov.in/ac/public/uploads2/candprofile/E32/2026/AC/s25/KASHI-2026-20260409043401.jpg</t>
  </si>
  <si>
    <t>PRANAB CHOWDHURY</t>
  </si>
  <si>
    <t>https://suvidha.eci.gov.in/ac/public/uploads2/candprofile/E32/2026/AC/s25/PRANA-2026-20260402022602.jpg</t>
  </si>
  <si>
    <t>ARIKH AKHER</t>
  </si>
  <si>
    <t>Indian Union Muslim League</t>
  </si>
  <si>
    <t>https://suvidha.eci.gov.in/ac/public/uploads2/candprofile/E32/2026/AC/s25/ARIKH-2026-20260407043555.jpg</t>
  </si>
  <si>
    <t>ANANDA BISWAS</t>
  </si>
  <si>
    <t>https://suvidha.eci.gov.in/ac/public/uploads2/candprofile/E32/2026/AC/s25/ANAND-2026-20260408073235.jpg</t>
  </si>
  <si>
    <t>SANJOY BISWAS</t>
  </si>
  <si>
    <t>https://suvidha.eci.gov.in/ac/public/uploads2/candprofile/E32/2026/AC/s25/SANJO-2026-20260402022717.jpg</t>
  </si>
  <si>
    <t>KAMAL UDDIN</t>
  </si>
  <si>
    <t>https://suvidha.eci.gov.in/ac/public/uploads2/candprofile/E32/2026/AC/S25/KAMAL-2026-20260411020649.jpg</t>
  </si>
  <si>
    <t>AFSANA KHATOON</t>
  </si>
  <si>
    <t>https://suvidha.eci.gov.in/ac/public/uploads2/candprofile/E32/2026/AC/s25/AFSAN-2026-20260409073611.jpg</t>
  </si>
  <si>
    <t>DULAL KANTI BHATTACHARYA</t>
  </si>
  <si>
    <t>https://suvidha.eci.gov.in/ac/public/uploads2/candprofile/E32/2026/AC/s25/DULAL-2026-20260408050656.jpg</t>
  </si>
  <si>
    <t>SK SAKIL ALI</t>
  </si>
  <si>
    <t>https://suvidha.eci.gov.in/ac/public/uploads2/candprofile/E32/2026/AC/S25/SKSAK-2026-20260410040929.jpg</t>
  </si>
  <si>
    <t>UTPAL DUTTA</t>
  </si>
  <si>
    <t>https://suvidha.eci.gov.in/ac/public/uploads2/candprofile/E32/2026/AC/s25/UTPAL-2026-20260404030824.jpg</t>
  </si>
  <si>
    <t>S.K AKTHAR</t>
  </si>
  <si>
    <t>Bharatiya National Janata Dal</t>
  </si>
  <si>
    <t>https://suvidha.eci.gov.in/ac/public/uploads2/candprofile/E32/2026/AC/s25/SEKHA-2026-20260408073417.jpg</t>
  </si>
  <si>
    <t>MANDAL AZIZUL</t>
  </si>
  <si>
    <t>https://suvidha.eci.gov.in/ac/public/uploads2/candprofile/E32/2026/AC/s25/MANDA-2026-20260407044202.jpg</t>
  </si>
  <si>
    <t>AJANTA SARKAR</t>
  </si>
  <si>
    <t>Socialist Party (India)</t>
  </si>
  <si>
    <t>https://suvidha.eci.gov.in/ac/public/uploads2/candprofile/E32/2026/AC/s25/AJANT-2026-20260407064943.jpg</t>
  </si>
  <si>
    <t>TARAK CHANDRA SARKAR</t>
  </si>
  <si>
    <t>https://suvidha.eci.gov.in/ac/public/uploads2/candprofile/E32/2026/AC/s25/TARAK-2026-20260408051000.jpg</t>
  </si>
  <si>
    <t>JOYDIP CHAUDHURI</t>
  </si>
  <si>
    <t>https://suvidha.eci.gov.in/ac/public/uploads2/candprofile/E32/2026/AC/S25/JOYDI-2026-20260404055525.jpg</t>
  </si>
  <si>
    <t>SARIFUL KHAN</t>
  </si>
  <si>
    <t>https://suvidha.eci.gov.in/ac/public/uploads2/candprofile/E32/2026/AC/s25/SARIF-2026-20260408073539.jpg</t>
  </si>
  <si>
    <t>JHANTU MAITI</t>
  </si>
  <si>
    <t>https://suvidha.eci.gov.in/ac/public/uploads2/candprofile/E32/2026/AC/s25/JHANT-2026-20260402045854.jpg</t>
  </si>
  <si>
    <t>ANITA JAISWAL</t>
  </si>
  <si>
    <t>https://suvidha.eci.gov.in/ac/public/uploads2/candprofile/E32/2026/AC/S25/ANITA-2026-20260410115635.jpg</t>
  </si>
  <si>
    <t>SHAMPA SARKAR</t>
  </si>
  <si>
    <t>https://suvidha.eci.gov.in/ac/public/uploads2/candprofile/E32/2026/AC/s25/SHAMP-2026-20260402055047.jpg</t>
  </si>
  <si>
    <t>SANJOY ROY</t>
  </si>
  <si>
    <t>https://suvidha.eci.gov.in/ac/public/uploads2/candprofile/E32/2026/AC/S25/SANJO-2026-20260402051550.jpg</t>
  </si>
  <si>
    <t>LABANI JANGI</t>
  </si>
  <si>
    <t>https://suvidha.eci.gov.in/ac/public/uploads2/candprofile/E32/2026/AC/s25/LABAN-2026-20260407045935.jpg</t>
  </si>
  <si>
    <t>ASIF HUSSAIN</t>
  </si>
  <si>
    <t>https://suvidha.eci.gov.in/ac/public/uploads2/candprofile/E32/2026/AC/s25/ASIFH-2026-20260409075359.jpg</t>
  </si>
  <si>
    <t>HARSH GUPTA</t>
  </si>
  <si>
    <t>https://suvidha.eci.gov.in/ac/public/uploads2/candprofile/E32/2026/AC/s25/HARSH-2026-20260409080009.jpg</t>
  </si>
  <si>
    <t>AYASANUL HAQUE SK.</t>
  </si>
  <si>
    <t>https://suvidha.eci.gov.in/ac/public/uploads2/candprofile/E32/2026/AC/S25/AYASA-2026-20260410044020.jpg</t>
  </si>
  <si>
    <t>BHUTNATH SARDAR</t>
  </si>
  <si>
    <t>Bahujan Mukti Party</t>
  </si>
  <si>
    <t>https://suvidha.eci.gov.in/ac/public/uploads2/candprofile/E32/2026/AC/s25/BHUTN-2026-20260408052626.jpg</t>
  </si>
  <si>
    <t>HARIPADA MONDAL</t>
  </si>
  <si>
    <t>https://suvidha.eci.gov.in/ac/public/uploads2/candprofile/E32/2026/AC/S25/HARIP-2026-20260409052449.jpg</t>
  </si>
  <si>
    <t>ASIK RAJ MONDAL</t>
  </si>
  <si>
    <t>All India Majlis-E-Ittehadul Muslimeen</t>
  </si>
  <si>
    <t>https://suvidha.eci.gov.in/ac/public/uploads2/candprofile/E32/2026/AC/s25/ASIKR-2026-20260408052643.jpg</t>
  </si>
  <si>
    <t>TARAK DAS</t>
  </si>
  <si>
    <t>https://suvidha.eci.gov.in/ac/public/uploads2/candprofile/E32/2026/AC/s25/TARAK-2026-20260402055334.jpg</t>
  </si>
  <si>
    <t>JAMAT ALI MANDAL</t>
  </si>
  <si>
    <t>https://suvidha.eci.gov.in/ac/public/uploads2/candprofile/E32/2026/AC/s25/JAMAT-2026-20260409080209.jpg</t>
  </si>
  <si>
    <t>SHYAMALI KUMAR</t>
  </si>
  <si>
    <t>https://suvidha.eci.gov.in/ac/public/uploads2/candprofile/E32/2026/AC/s25/SHYAM-2026-20260404052430.jpg</t>
  </si>
  <si>
    <t>SEKH ABDUL RAHIM</t>
  </si>
  <si>
    <t>https://suvidha.eci.gov.in/ac/public/uploads2/candprofile/E32/2026/AC/s25/SEKHA-2026-20260409080447.jpg</t>
  </si>
  <si>
    <t>DILIP SANFUI</t>
  </si>
  <si>
    <t>https://suvidha.eci.gov.in/ac/public/uploads2/candprofile/E32/2026/AC/s25/DILIP-2026-20260409080537.jpg</t>
  </si>
  <si>
    <t>MONIKA MANNA</t>
  </si>
  <si>
    <t>https://suvidha.eci.gov.in/ac/public/uploads2/candprofile/E32/2026/AC/s25/MONIK-2026-20260409080610.jpg</t>
  </si>
  <si>
    <t>SHABANA PARVIN</t>
  </si>
  <si>
    <t>https://suvidha.eci.gov.in/ac/public/uploads2/candprofile/E32/2026/AC/s25/SHABA-2026-20260409101000.jpg</t>
  </si>
  <si>
    <t>PRAVAT MAJHI</t>
  </si>
  <si>
    <t>https://suvidha.eci.gov.in/ac/public/uploads2/candprofile/E32/2026/AC/s25/PRAVA-2026-20260402055501.jpg</t>
  </si>
  <si>
    <t>SK ALAMGIR</t>
  </si>
  <si>
    <t>https://suvidha.eci.gov.in/ac/public/uploads2/candprofile/E32/2026/AC/S25/SKALA-2026-20260407072750.jpg</t>
  </si>
  <si>
    <t>SK.MUJAFFAR ALI  (MAJA)</t>
  </si>
  <si>
    <t>https://suvidha.eci.gov.in/ac/public/uploads2/candprofile/E32/2026/AC/s25/SKMU-2026-20260406064640.jpg</t>
  </si>
  <si>
    <t>BOTHAM CHOWDHURY</t>
  </si>
  <si>
    <t>https://suvidha.eci.gov.in/ac/public/uploads2/candprofile/E32/2026/AC/s25/BOTHA-2026-20260407073824.jpg</t>
  </si>
  <si>
    <t>TANMOY SARDAR</t>
  </si>
  <si>
    <t>https://suvidha.eci.gov.in/ac/public/uploads2/candprofile/E32/2026/AC/S25/TANMO-2026-20260409081741.jpg</t>
  </si>
  <si>
    <t>SEKH NASIRUDDIN</t>
  </si>
  <si>
    <t>https://suvidha.eci.gov.in/ac/public/uploads2/candprofile/E32/2026/AC/s25/SEKHN-2026-20260409102051.jpg</t>
  </si>
  <si>
    <t>AVISEK DAS</t>
  </si>
  <si>
    <t>https://suvidha.eci.gov.in/ac/public/uploads2/candprofile/E32/2026/AC/s25/AVISE-2026-20260408054028.jpg</t>
  </si>
  <si>
    <t>AYAN CHAKRABORTY</t>
  </si>
  <si>
    <t>https://suvidha.eci.gov.in/ac/public/uploads2/candprofile/E32/2026/AC/S25/AYANC-2026-20260410120115.jpg</t>
  </si>
  <si>
    <t>SANJOY PRAMANICK</t>
  </si>
  <si>
    <t>https://suvidha.eci.gov.in/ac/public/uploads2/candprofile/E32/2026/AC/s25/SANJO-2026-20260409055904.jpg</t>
  </si>
  <si>
    <t>DEBASHIS NATH</t>
  </si>
  <si>
    <t>https://suvidha.eci.gov.in/ac/public/uploads2/candprofile/E32/2026/AC/s25/DEBAS-2026-20260408081924.jpg</t>
  </si>
  <si>
    <t>PRASANTA DAS</t>
  </si>
  <si>
    <t>https://suvidha.eci.gov.in/ac/public/uploads2/candprofile/E32/2026/AC/s25/PRASA-2026-20260408081932.jpg</t>
  </si>
  <si>
    <t>MANMATHA BISWAS</t>
  </si>
  <si>
    <t>https://suvidha.eci.gov.in/ac/public/uploads2/candprofile/E32/2026/AC/s25/MANMA-2026-20260408054556.jpg</t>
  </si>
  <si>
    <t>SRI CHAND BIND</t>
  </si>
  <si>
    <t>https://suvidha.eci.gov.in/ac/public/uploads2/candprofile/E32/2026/AC/s25/SRICH-2026-20260402060000.jpg</t>
  </si>
  <si>
    <t>MAINUR KHAN</t>
  </si>
  <si>
    <t>https://suvidha.eci.gov.in/ac/public/uploads2/candprofile/E32/2026/AC/s25/MAINU-2026-20260409082602.jpg</t>
  </si>
  <si>
    <t>SUKHENDU MONDAL</t>
  </si>
  <si>
    <t>https://suvidha.eci.gov.in/ac/public/uploads2/candprofile/E32/2026/AC/s25/SUKHE-2026-20260404032830.jpg</t>
  </si>
  <si>
    <t>AMIT KUMAR SHAW</t>
  </si>
  <si>
    <t>https://suvidha.eci.gov.in/ac/public/uploads2/candprofile/E32/2026/AC/s25/AMITK-2026-20260408055512.jpg</t>
  </si>
  <si>
    <t>NASIM KHAN</t>
  </si>
  <si>
    <t>https://suvidha.eci.gov.in/ac/public/uploads2/candprofile/E32/2026/AC/s25/NASIM-2026-20260409083202.jpg</t>
  </si>
  <si>
    <t>BIKASH DAS</t>
  </si>
  <si>
    <t>https://suvidha.eci.gov.in/ac/public/uploads2/candprofile/E32/2026/AC/s25/BIKAS-2026-20260409083306.jpg</t>
  </si>
  <si>
    <t>DEBRAJ GAYEN</t>
  </si>
  <si>
    <t>https://suvidha.eci.gov.in/ac/public/uploads2/candprofile/E32/2026/AC/s25/DEBRA-2026-20260408055855.jpg</t>
  </si>
  <si>
    <t>GANESH MAJHI</t>
  </si>
  <si>
    <t>https://suvidha.eci.gov.in/ac/public/uploads2/candprofile/E32/2026/AC/s25/GANES-2026-20260406062520.jpg</t>
  </si>
  <si>
    <t>MOKADDAS HOSSAIN</t>
  </si>
  <si>
    <t>https://suvidha.eci.gov.in/ac/public/uploads2/candprofile/E32/2026/AC/s25/MOKAD-2026-20260409083428.jpg</t>
  </si>
  <si>
    <t>CHANDAN DEY</t>
  </si>
  <si>
    <t>https://suvidha.eci.gov.in/ac/public/uploads2/candprofile/E32/2026/AC/s25/CHAND-2026-20260409104332.jpg</t>
  </si>
  <si>
    <t>BIRJU SHAW</t>
  </si>
  <si>
    <t>https://suvidha.eci.gov.in/ac/public/uploads2/candprofile/E32/2026/AC/s25/BIRJU-2026-20260408083541.jpg</t>
  </si>
  <si>
    <t>MALAY GUHA ROY</t>
  </si>
  <si>
    <t>https://suvidha.eci.gov.in/ac/public/uploads2/candprofile/E32/2026/AC/S25/MALAY-2026-20260404060758.jpg</t>
  </si>
  <si>
    <t>SABINA KHATUN</t>
  </si>
  <si>
    <t>https://suvidha.eci.gov.in/ac/public/uploads2/candprofile/E32/2026/AC/s25/SABIN-2026-20260409061430.jpg</t>
  </si>
  <si>
    <t>PRIYANKA BARMAN</t>
  </si>
  <si>
    <t>https://suvidha.eci.gov.in/ac/public/uploads2/candprofile/E32/2026/AC/s25/PRIYA-2026-20260407052816.jpg</t>
  </si>
  <si>
    <t>NARAYAN CHANDRA JANA</t>
  </si>
  <si>
    <t>https://suvidha.eci.gov.in/ac/public/uploads2/candprofile/E32/2026/AC/S25/NARAY-2026-20260407023123.jpg</t>
  </si>
  <si>
    <t>SHEFALI SANTRA</t>
  </si>
  <si>
    <t>https://suvidha.eci.gov.in/ac/public/uploads2/candprofile/E32/2026/AC/S25/SHEFA-2026-20260410023620.jpg</t>
  </si>
  <si>
    <t>SHUBHANKAR MONDAL</t>
  </si>
  <si>
    <t>https://suvidha.eci.gov.in/ac/public/uploads2/candprofile/E32/2026/AC/s25/SHUBH-2026-20260407085832.jpg</t>
  </si>
  <si>
    <t>KARTICK CHANDRA PAL</t>
  </si>
  <si>
    <t>https://suvidha.eci.gov.in/ac/public/uploads2/candprofile/E32/2026/AC/s25/KARTI-2026-20260409104927.jpg</t>
  </si>
  <si>
    <t>SUBAL CHANDRA SARDAR</t>
  </si>
  <si>
    <t>https://suvidha.eci.gov.in/ac/public/uploads2/candprofile/E32/2026/AC/s25/SUBAL-2026-20260409061936.jpg</t>
  </si>
  <si>
    <t>BIJOY OJHA</t>
  </si>
  <si>
    <t>https://suvidha.eci.gov.in/ac/public/uploads2/candprofile/E32/2026/AC/s25/BIJOY-2026-20260409062109.jpg</t>
  </si>
  <si>
    <t>SUKANTA POREL</t>
  </si>
  <si>
    <t>https://suvidha.eci.gov.in/ac/public/uploads2/candprofile/E32/2026/AC/S25/SUKAN-2026-20260402060234.jpg</t>
  </si>
  <si>
    <t>https://suvidha.eci.gov.in/ac/public/uploads2/candprofile/E32/2026/AC/S25/SWAPA-2026-20260414041200.jpg</t>
  </si>
  <si>
    <t>KOUSIK GHOSH</t>
  </si>
  <si>
    <t>https://suvidha.eci.gov.in/ac/public/uploads2/candprofile/E32/2026/AC/s25/KOUSI-2026-20260409084516.jpg</t>
  </si>
  <si>
    <t>ARINDAM BHATTACHARYA</t>
  </si>
  <si>
    <t>https://suvidha.eci.gov.in/ac/public/uploads2/candprofile/E32/2026/AC/S25/ARIND-2026-20260408032522.jpg</t>
  </si>
  <si>
    <t>SHAMPA MUKHERJEE</t>
  </si>
  <si>
    <t>https://suvidha.eci.gov.in/ac/public/uploads2/candprofile/E32/2026/AC/s25/SHAMP-2026-20260408084658.jpg</t>
  </si>
  <si>
    <t>JOYDEV NASKAR</t>
  </si>
  <si>
    <t>https://suvidha.eci.gov.in/ac/public/uploads2/candprofile/E32/2026/AC/s25/JOYDE-2026-20260404033500.jpg</t>
  </si>
  <si>
    <t>SUMAN PAUL</t>
  </si>
  <si>
    <t>https://suvidha.eci.gov.in/ac/public/uploads2/candprofile/E32/2026/AC/s25/SUMAN-2026-20260409063332.jpg</t>
  </si>
  <si>
    <t>HIRONMOY MONDAL</t>
  </si>
  <si>
    <t>https://suvidha.eci.gov.in/ac/public/uploads2/candprofile/E32/2026/AC/s25/HIRON-2026-20260402033123.jpg</t>
  </si>
  <si>
    <t>ANSHAR ALI</t>
  </si>
  <si>
    <t>https://suvidha.eci.gov.in/ac/public/uploads2/candprofile/E32/2026/AC/S25/ANSHA-2026-20260411083618.jpg</t>
  </si>
  <si>
    <t>SK SADDAM HOSSAIN</t>
  </si>
  <si>
    <t>https://suvidha.eci.gov.in/ac/public/uploads2/candprofile/E32/2026/AC/S25/SKSAD-2026-20260404044438.jpg</t>
  </si>
  <si>
    <t>https://suvidha.eci.gov.in/ac/public/uploads2/candprofile/E32/2026/AC/s25/ANUPA-2026-20260409112310.jpg</t>
  </si>
  <si>
    <t>https://suvidha.eci.gov.in/ac/public/uploads2/candprofile/E32/2026/AC/s25/SUBRA-2026-20260407014816.jpg</t>
  </si>
  <si>
    <t>BISWAJIT SING</t>
  </si>
  <si>
    <t>https://suvidha.eci.gov.in/ac/public/uploads2/candprofile/E32/2026/AC/s25/BISWA-2026-20260409085816.jpg</t>
  </si>
  <si>
    <t>ASIM SARDAR</t>
  </si>
  <si>
    <t>https://suvidha.eci.gov.in/ac/public/uploads2/candprofile/E32/2026/AC/s25/ASIMS-2026-20260408091640.jpg</t>
  </si>
  <si>
    <t>Rohit Sarkar</t>
  </si>
  <si>
    <t>https://suvidha.eci.gov.in/ac/public/uploads2/candprofile/E32/2026/AC/s25/Rohit-2026-20260409113107.jpg</t>
  </si>
  <si>
    <t>CHANDRA SHEKHAR CHOWDHURI</t>
  </si>
  <si>
    <t>https://suvidha.eci.gov.in/ac/public/uploads2/candprofile/E32/2026/AC/s25/CHAND-2026-20260402052120.jpg</t>
  </si>
  <si>
    <t>SABINA YASMIN (USHA)</t>
  </si>
  <si>
    <t>https://suvidha.eci.gov.in/ac/public/uploads2/candprofile/E32/2026/AC/S25/SABIN-2026-20260409050433.jpg</t>
  </si>
  <si>
    <t>FAJAR ALI SEIKH</t>
  </si>
  <si>
    <t>https://suvidha.eci.gov.in/ac/public/uploads2/candprofile/E32/2026/AC/s25/FAJAR-2026-20260409064948.jpg</t>
  </si>
  <si>
    <t>NANDALAL GHUKU</t>
  </si>
  <si>
    <t>https://suvidha.eci.gov.in/ac/public/uploads2/candprofile/E32/2026/AC/s25/NANDA-2026-20260409090352.jpg</t>
  </si>
  <si>
    <t>Najbul Ansary</t>
  </si>
  <si>
    <t>https://suvidha.eci.gov.in/ac/public/uploads2/candprofile/E32/2026/AC/s25/Najbu-2026-20260406082116.jpg</t>
  </si>
  <si>
    <t>KALYANI MONDAL</t>
  </si>
  <si>
    <t>https://suvidha.eci.gov.in/ac/public/uploads2/candprofile/E32/2026/AC/S25/KALYA-2026-20260413035801.jpg</t>
  </si>
  <si>
    <t>MINATI MITRA HALDER</t>
  </si>
  <si>
    <t>https://suvidha.eci.gov.in/ac/public/uploads2/candprofile/E32/2026/AC/s25/MINAT-2026-20260402052257.jpg</t>
  </si>
  <si>
    <t>SAMSUN NAHAR KHATUN SEKH</t>
  </si>
  <si>
    <t>https://suvidha.eci.gov.in/ac/public/uploads2/candprofile/E32/2026/AC/s25/SAMSU-2026-20260408063321.jpg</t>
  </si>
  <si>
    <t>NAZRUL ISLAM</t>
  </si>
  <si>
    <t>https://suvidha.eci.gov.in/ac/public/uploads2/candprofile/E32/2026/AC/s25/NAZRU-2026-20260408063502.jpg</t>
  </si>
  <si>
    <t>SOMNATH PATRA</t>
  </si>
  <si>
    <t>https://suvidha.eci.gov.in/ac/public/uploads2/candprofile/E32/2026/AC/S25/SOMNA-2026-20260409063312.jpg</t>
  </si>
  <si>
    <t>SHANKAR NASKAR</t>
  </si>
  <si>
    <t>https://suvidha.eci.gov.in/ac/public/uploads2/candprofile/E32/2026/AC/s25/SHANK-2026-20260402052441.jpg</t>
  </si>
  <si>
    <t>ABHISEK MONDAL</t>
  </si>
  <si>
    <t>https://suvidha.eci.gov.in/ac/public/uploads2/candprofile/E32/2026/AC/s25/ABHIS-2026-20260408032751.jpg</t>
  </si>
  <si>
    <t>ASTIKMONI MALICK</t>
  </si>
  <si>
    <t>https://suvidha.eci.gov.in/ac/public/uploads2/candprofile/E32/2026/AC/S25/ASTIK-2026-20260410032200.jpg</t>
  </si>
  <si>
    <t>BIDYUT GAYEN</t>
  </si>
  <si>
    <t>https://suvidha.eci.gov.in/ac/public/uploads2/candprofile/E32/2026/AC/s25/BIDYU-2026-20260406065419.jpg</t>
  </si>
  <si>
    <t>SK MOZAMMEL SAMAD</t>
  </si>
  <si>
    <t>https://suvidha.eci.gov.in/ac/public/uploads2/candprofile/E32/2026/AC/s25/SKMOZ-2026-20260409070040.jpg</t>
  </si>
  <si>
    <t>CHUNKU TUDU</t>
  </si>
  <si>
    <t>https://suvidha.eci.gov.in/ac/public/uploads2/candprofile/E32/2026/AC/s25/CHUNK-2026-20260410120925.jpg</t>
  </si>
  <si>
    <t>SAIKAT DHANI</t>
  </si>
  <si>
    <t>https://suvidha.eci.gov.in/ac/public/uploads2/candprofile/E32/2026/AC/s25/SAIKA-2026-20260409070146.jpg</t>
  </si>
  <si>
    <t>MASIKUR RAHAMAN KHAN</t>
  </si>
  <si>
    <t>https://suvidha.eci.gov.in/ac/public/uploads2/candprofile/E32/2026/AC/s25/MOSIK-2026-20260404054144.jpg</t>
  </si>
  <si>
    <t>GAUTAM GOSWAMI</t>
  </si>
  <si>
    <t>https://suvidha.eci.gov.in/ac/public/uploads2/candprofile/E32/2026/AC/s25/GAUTA-2026-20260408101500.jpg</t>
  </si>
  <si>
    <t>BIDHAN GHOSH</t>
  </si>
  <si>
    <t>https://suvidha.eci.gov.in/ac/public/uploads2/candprofile/E32/2026/AC/s25/BIDHA-2026-20260406063300.jpg</t>
  </si>
  <si>
    <t>ABHIJIT SHOW</t>
  </si>
  <si>
    <t>https://suvidha.eci.gov.in/ac/public/uploads2/candprofile/E32/2026/AC/s25/ABHIJ-2026-20260408101648.jpg</t>
  </si>
  <si>
    <t>KANAI MANDAL</t>
  </si>
  <si>
    <t>Jan Sangh Party</t>
  </si>
  <si>
    <t>https://suvidha.eci.gov.in/ac/public/uploads2/candprofile/E32/2026/AC/s25/KANAI-2026-20260409070307.jpg</t>
  </si>
  <si>
    <t>PRASENJIT DEY</t>
  </si>
  <si>
    <t>https://suvidha.eci.gov.in/ac/public/uploads2/candprofile/E32/2026/AC/s25/PRASE-2026-20260409070413.jpg</t>
  </si>
  <si>
    <t>GOUTAM KUMAR HALDER</t>
  </si>
  <si>
    <t>https://suvidha.eci.gov.in/ac/public/uploads2/candprofile/E32/2026/AC/s25/GOUTA-2026-20260409070616.jpg</t>
  </si>
  <si>
    <t>PIYARUL SANPUI</t>
  </si>
  <si>
    <t>https://suvidha.eci.gov.in/ac/public/uploads2/candprofile/E32/2026/AC/S25/PIYAR-2026-20260409123726.jpg</t>
  </si>
  <si>
    <t>ARUP MANDAL</t>
  </si>
  <si>
    <t>https://suvidha.eci.gov.in/ac/public/uploads2/candprofile/E32/2026/AC/S25/ARUPM-2026-20260413061652.jpg</t>
  </si>
  <si>
    <t>SHEO PRASAD TIWARI</t>
  </si>
  <si>
    <t>Bharatiya Rashtriya Forward Bloc</t>
  </si>
  <si>
    <t>https://suvidha.eci.gov.in/ac/public/uploads2/candprofile/E32/2026/AC/s25/SHEOP-2026-20260409070838.jpg</t>
  </si>
  <si>
    <t>MADHUMITA GHOSH W/O PALASH GHOSH</t>
  </si>
  <si>
    <t>https://suvidha.eci.gov.in/ac/public/uploads2/candprofile/E32/2026/AC/s25/MADHU-2026-20260408064217.jpg</t>
  </si>
  <si>
    <t>MD MASUD BILLAH MOLLA</t>
  </si>
  <si>
    <t>https://suvidha.eci.gov.in/ac/public/uploads2/candprofile/E32/2026/AC/s25/MDMAS-2026-20260409091701.jpg</t>
  </si>
  <si>
    <t>BIDYUT MONDAL</t>
  </si>
  <si>
    <t>https://suvidha.eci.gov.in/ac/public/uploads2/candprofile/E32/2026/AC/s25/BIDYU-2026-20260409091835.jpg</t>
  </si>
  <si>
    <t>RAJDEEP ROY</t>
  </si>
  <si>
    <t>https://suvidha.eci.gov.in/ac/public/uploads2/candprofile/E32/2026/AC/s25/RAJDE-2026-20260408065233.jpg</t>
  </si>
  <si>
    <t>SHIULI SINGH</t>
  </si>
  <si>
    <t>https://suvidha.eci.gov.in/ac/public/uploads2/candprofile/E32/2026/AC/s25/SHIUL-2026-20260410015211.jpg</t>
  </si>
  <si>
    <t>SUBIR SAMANTA</t>
  </si>
  <si>
    <t>https://suvidha.eci.gov.in/ac/public/uploads2/candprofile/E32/2026/AC/s25/SUBIR-2026-20260402073412.jpg</t>
  </si>
  <si>
    <t>https://suvidha.eci.gov.in/ac/public/uploads2/candprofile/E32/2026/AC/S25/SANJA-2026-20260409122804.jpg</t>
  </si>
  <si>
    <t>GOPAL BISWAS</t>
  </si>
  <si>
    <t>https://suvidha.eci.gov.in/ac/public/uploads2/candprofile/E32/2026/AC/s25/GOPAL-2026-20260409014714.jpg</t>
  </si>
  <si>
    <t>NANIGOPAL DEBNATH</t>
  </si>
  <si>
    <t>https://suvidha.eci.gov.in/ac/public/uploads2/candprofile/E32/2026/AC/s25/NANIG-2026-20260407060937.jpg</t>
  </si>
  <si>
    <t>SUJIT KHAN</t>
  </si>
  <si>
    <t>https://suvidha.eci.gov.in/ac/public/uploads2/candprofile/E32/2026/AC/s25/SUJIT-2026-20260408070847.jpg</t>
  </si>
  <si>
    <t>GOLAM MD NIZAMUDDIN</t>
  </si>
  <si>
    <t>https://suvidha.eci.gov.in/ac/public/uploads2/candprofile/E32/2026/AC/s25/GOLAM-2026-20260408042301.jpg</t>
  </si>
  <si>
    <t>ASIM BISWAS</t>
  </si>
  <si>
    <t>https://suvidha.eci.gov.in/ac/public/uploads2/candprofile/E32/2026/AC/s25/ASIMB-2026-20260408071041.jpg</t>
  </si>
  <si>
    <t>BIKASH CHANDRA DAS</t>
  </si>
  <si>
    <t>https://suvidha.eci.gov.in/ac/public/uploads2/candprofile/E32/2026/AC/s25/BIKAS-2026-20260409071507.jpg</t>
  </si>
  <si>
    <t>SAROOP CHATTOPADHYAY</t>
  </si>
  <si>
    <t>https://suvidha.eci.gov.in/ac/public/uploads2/candprofile/E32/2026/AC/s25/SAROO-2026-20260409092447.jpg</t>
  </si>
  <si>
    <t>PURNENDU NASKAR</t>
  </si>
  <si>
    <t>https://suvidha.eci.gov.in/ac/public/uploads2/candprofile/E32/2026/AC/s25/PURNE-2026-20260407061445.jpg</t>
  </si>
  <si>
    <t>SHYAMSUNDAR HALDAR</t>
  </si>
  <si>
    <t>https://suvidha.eci.gov.in/ac/public/uploads2/candprofile/E32/2026/AC/s25/SHYAM-2026-20260402062750.jpg</t>
  </si>
  <si>
    <t>JESMIN BEGAM</t>
  </si>
  <si>
    <t>https://suvidha.eci.gov.in/ac/public/uploads2/candprofile/E32/2026/AC/s25/JESMI-2026-20260408071331.jpg</t>
  </si>
  <si>
    <t>BHASKAR BHATTACHARJEE</t>
  </si>
  <si>
    <t>https://suvidha.eci.gov.in/ac/public/uploads2/candprofile/E32/2026/AC/s25/BHASK-2026-20260409071909.jpg</t>
  </si>
  <si>
    <t>KALIPADA BISWAS</t>
  </si>
  <si>
    <t>https://suvidha.eci.gov.in/ac/public/uploads2/candprofile/E32/2026/AC/S25/KALIP-2026-20260408043746.jpg</t>
  </si>
  <si>
    <t>PULAK NAYEK</t>
  </si>
  <si>
    <t>https://suvidha.eci.gov.in/ac/public/uploads2/candprofile/E32/2026/AC/s25/PULAK-2026-20260409072018.jpg</t>
  </si>
  <si>
    <t>DIPAK KUMAR MONDAL</t>
  </si>
  <si>
    <t>https://suvidha.eci.gov.in/ac/public/uploads2/candprofile/E32/2026/AC/S25/DIPAK-2026-20260407043514.jpg</t>
  </si>
  <si>
    <t>RUPA SARDER</t>
  </si>
  <si>
    <t>https://suvidha.eci.gov.in/ac/public/uploads2/candprofile/E32/2026/AC/s25/RUPAS-2026-20260409034758.jpg</t>
  </si>
  <si>
    <t>SANTOSH KUMAR ADHIKARY</t>
  </si>
  <si>
    <t>Guruchand Sena Dal</t>
  </si>
  <si>
    <t>https://suvidha.eci.gov.in/ac/public/uploads2/candprofile/E32/2026/AC/s25/SANTO-2026-20260409072154.jpg</t>
  </si>
  <si>
    <t>NILRATAN NAIYA</t>
  </si>
  <si>
    <t>https://suvidha.eci.gov.in/ac/public/uploads2/candprofile/E32/2026/AC/S25/NILRA-2026-20260407054552.jpg</t>
  </si>
  <si>
    <t>ABDULLAH KHAN SAHEB</t>
  </si>
  <si>
    <t>https://suvidha.eci.gov.in/ac/public/uploads2/candprofile/E32/2026/AC/s25/ABDUL-2026-20260409072243.jpg</t>
  </si>
  <si>
    <t>ASHIM CHAKRABORTY</t>
  </si>
  <si>
    <t>https://suvidha.eci.gov.in/ac/public/uploads2/candprofile/E32/2026/AC/s25/ASHIM-2026-20260409093359.jpg</t>
  </si>
  <si>
    <t>SIMA BHATTACHARYYA</t>
  </si>
  <si>
    <t>https://suvidha.eci.gov.in/ac/public/uploads2/candprofile/E32/2026/AC/s25/SIMAB-2026-20260407063603.jpg</t>
  </si>
  <si>
    <t>CHANDAN ROY</t>
  </si>
  <si>
    <t>https://suvidha.eci.gov.in/ac/public/uploads2/candprofile/E32/2026/AC/s25/CHAND-2026-20260409040924.jpg</t>
  </si>
  <si>
    <t>BISWAJIT BAG</t>
  </si>
  <si>
    <t>https://suvidha.eci.gov.in/ac/public/uploads2/candprofile/E32/2026/AC/s25/BISWA-2026-20260409041019.jpg</t>
  </si>
  <si>
    <t>KECHHABUDDIN SEKH</t>
  </si>
  <si>
    <t>https://suvidha.eci.gov.in/ac/public/uploads2/candprofile/E32/2026/AC/s25/KECHH-2026-20260409041419.jpg</t>
  </si>
  <si>
    <t>ANANDA MODAK</t>
  </si>
  <si>
    <t>https://suvidha.eci.gov.in/ac/public/uploads2/candprofile/E32/2026/AC/s25/ANAND-2026-20260409093810.jpg</t>
  </si>
  <si>
    <t>RAHUL PAL</t>
  </si>
  <si>
    <t>Gondvana Gantantra Party</t>
  </si>
  <si>
    <t>https://suvidha.eci.gov.in/ac/public/uploads2/candprofile/E32/2026/AC/s25/RAHUL-2026-20260409073115.jpg</t>
  </si>
  <si>
    <t>NITAIKRISHNA PAL</t>
  </si>
  <si>
    <t>https://suvidha.eci.gov.in/ac/public/uploads2/candprofile/E32/2026/AC/S25/NITAI-2026-20260408010946.jpg</t>
  </si>
  <si>
    <t>GOPAL MANDAL</t>
  </si>
  <si>
    <t>https://suvidha.eci.gov.in/ac/public/uploads2/candprofile/E32/2026/AC/s25/GOPAL-2026-20260409045302.jpg</t>
  </si>
  <si>
    <t>SANAP MONDAL</t>
  </si>
  <si>
    <t>https://suvidha.eci.gov.in/ac/public/uploads2/candprofile/E32/2026/AC/s25/SANAP-2026-20260409094744.jpg</t>
  </si>
  <si>
    <t>SANKAR MONDAL (BULTU)</t>
  </si>
  <si>
    <t>https://suvidha.eci.gov.in/ac/public/uploads2/candprofile/E32/2026/AC/s25/SANKA-2026-20260404062017.jpg</t>
  </si>
  <si>
    <t>AMITAVA NANDI</t>
  </si>
  <si>
    <t>https://suvidha.eci.gov.in/ac/public/uploads2/candprofile/E32/2026/AC/s25/AMITA-2026-20260410114354.jpg</t>
  </si>
  <si>
    <t>SHIKHA GHOSH</t>
  </si>
  <si>
    <t>https://suvidha.eci.gov.in/ac/public/uploads2/candprofile/E32/2026/AC/s25/SHIKH-2026-20260409051900.jpg</t>
  </si>
  <si>
    <t>SOMA BISWAS</t>
  </si>
  <si>
    <t>https://suvidha.eci.gov.in/ac/public/uploads2/candprofile/E32/2026/AC/S25/SOMAB-2026-20260413034307.jpg</t>
  </si>
  <si>
    <t>BIPLAB CHANDRA DAS</t>
  </si>
  <si>
    <t>https://suvidha.eci.gov.in/ac/public/uploads2/candprofile/E32/2026/AC/s25/BIPLA-2026-20260404062200.jpg</t>
  </si>
  <si>
    <t>https://suvidha.eci.gov.in/ac/public/uploads2/candprofile/E32/2026/AC/s25/TANMO-2026-20260409052319.jpg</t>
  </si>
  <si>
    <t>FAISAL KHAN</t>
  </si>
  <si>
    <t>https://suvidha.eci.gov.in/ac/public/uploads2/candprofile/E32/2026/AC/s25/FAISA-2026-20260409095648.jpg</t>
  </si>
  <si>
    <t>SUKLA SAHA (MUKTA)</t>
  </si>
  <si>
    <t>https://suvidha.eci.gov.in/ac/public/uploads2/candprofile/E32/2026/AC/s25/SUKLA-2026-20260408051728.jpg</t>
  </si>
  <si>
    <t>JOHAR IQBAL</t>
  </si>
  <si>
    <t>https://suvidha.eci.gov.in/ac/public/uploads2/candprofile/E32/2026/AC/s25/JOHAR-2026-20260409075246.jpg</t>
  </si>
  <si>
    <t>BARUNA DAS</t>
  </si>
  <si>
    <t>https://suvidha.eci.gov.in/ac/public/uploads2/candprofile/E32/2026/AC/s25/BARUN-2026-20260409053234.jpg</t>
  </si>
  <si>
    <t>DEBDYUTI  DEB</t>
  </si>
  <si>
    <t>https://suvidha.eci.gov.in/ac/public/uploads2/candprofile/E32/2026/AC/s25/DEBDY-2026-20260409100039.jpg</t>
  </si>
  <si>
    <t>ARINDAM GHOSH</t>
  </si>
  <si>
    <t>https://suvidha.eci.gov.in/ac/public/uploads2/candprofile/E32/2026/AC/S25/ARIND-2026-20260411023429.jpg</t>
  </si>
  <si>
    <t>SABIR RAJA ANSARI</t>
  </si>
  <si>
    <t>https://suvidha.eci.gov.in/ac/public/uploads2/candprofile/E32/2026/AC/s25/SABIR-2026-20260409053555.jpg</t>
  </si>
  <si>
    <t>RAFIQUL ISLAM GAZI</t>
  </si>
  <si>
    <t>https://suvidha.eci.gov.in/ac/public/uploads2/candprofile/E32/2026/AC/s25/RAFIQ-2026-20260409075958.jpg</t>
  </si>
  <si>
    <t>SISIR KUMAR MONDAL</t>
  </si>
  <si>
    <t>https://suvidha.eci.gov.in/ac/public/uploads2/candprofile/E32/2026/AC/S25/SISIR-2026-20260404034155.jpg</t>
  </si>
  <si>
    <t>SURYA BAGDI</t>
  </si>
  <si>
    <t>https://suvidha.eci.gov.in/ac/public/uploads2/candprofile/E32/2026/AC/s25/SURYA-2026-20260409080138.jpg</t>
  </si>
  <si>
    <t>BIMALENDU SHEE</t>
  </si>
  <si>
    <t>https://suvidha.eci.gov.in/ac/public/uploads2/candprofile/E32/2026/AC/s25/BIMAL-2026-20260408052737.jpg</t>
  </si>
  <si>
    <t>SANGEETA MAITI</t>
  </si>
  <si>
    <t>https://suvidha.eci.gov.in/ac/public/uploads2/candprofile/E32/2026/AC/s25/SANGE-2026-20260402055339.jpg</t>
  </si>
  <si>
    <t>DIPAK GHOSH</t>
  </si>
  <si>
    <t>https://suvidha.eci.gov.in/ac/public/uploads2/candprofile/E32/2026/AC/s25/DIPAK-2026-20260408075617.jpg</t>
  </si>
  <si>
    <t>OMAR FARUQUE</t>
  </si>
  <si>
    <t>https://suvidha.eci.gov.in/ac/public/uploads2/candprofile/E32/2026/AC/S25/OMARF-2026-20260410021523.jpg</t>
  </si>
  <si>
    <t>SIMA NANDY</t>
  </si>
  <si>
    <t>https://suvidha.eci.gov.in/ac/public/uploads2/candprofile/E32/2026/AC/S25/SIMAN-2026-20260407065813.jpg</t>
  </si>
  <si>
    <t>SUMIT MUKHERJEE</t>
  </si>
  <si>
    <t>https://suvidha.eci.gov.in/ac/public/uploads2/candprofile/E32/2026/AC/s25/SUMIT-2026-20260409054630.jpg</t>
  </si>
  <si>
    <t>KABIR RANA</t>
  </si>
  <si>
    <t>https://suvidha.eci.gov.in/ac/public/uploads2/candprofile/E32/2026/AC/s25/KABIR-2026-20260409054830.jpg</t>
  </si>
  <si>
    <t>DR.CHANDRACHUR GOSWAMI</t>
  </si>
  <si>
    <t>https://suvidha.eci.gov.in/ac/public/uploads2/candprofile/E32/2026/AC/s25/DRCH-2026-20260407050806.jpg</t>
  </si>
  <si>
    <t>MOUMITA BANERJEE</t>
  </si>
  <si>
    <t>https://suvidha.eci.gov.in/ac/public/uploads2/candprofile/E32/2026/AC/s25/MOUMI-2026-20260409054911.jpg</t>
  </si>
  <si>
    <t>DINESH KUMAR SHARMA</t>
  </si>
  <si>
    <t>https://suvidha.eci.gov.in/ac/public/uploads2/candprofile/E32/2026/AC/S25/DINES-2026-20260409064028.jpg</t>
  </si>
  <si>
    <t>MD MOFIDUL HOQUE SAHAJI MINTU</t>
  </si>
  <si>
    <t>https://suvidha.eci.gov.in/ac/public/uploads2/candprofile/E32/2026/AC/s25/MDMOF-2026-20260407051035.jpg</t>
  </si>
  <si>
    <t>SK HABIB</t>
  </si>
  <si>
    <t>https://suvidha.eci.gov.in/ac/public/uploads2/candprofile/E32/2026/AC/s25/SKHAB-2026-20260409081226.jpg</t>
  </si>
  <si>
    <t>GAUTAM VERMA</t>
  </si>
  <si>
    <t>https://suvidha.eci.gov.in/ac/public/uploads2/candprofile/E32/2026/AC/s25/GAUTA-2026-20260409081245.jpg</t>
  </si>
  <si>
    <t>SUBIR CHAUDHURY</t>
  </si>
  <si>
    <t>https://suvidha.eci.gov.in/ac/public/uploads2/candprofile/E32/2026/AC/s25/SUBIR-2026-20260402055652.jpg</t>
  </si>
  <si>
    <t>BHASKAR CHANDRA NASKAR</t>
  </si>
  <si>
    <t>https://suvidha.eci.gov.in/ac/public/uploads2/candprofile/E32/2026/AC/s25/BHASK-2026-20260409101733.jpg</t>
  </si>
  <si>
    <t>HABIBUR RAHAMAN SK. (RAJU)</t>
  </si>
  <si>
    <t>https://suvidha.eci.gov.in/ac/public/uploads2/candprofile/E32/2026/AC/s25/HABIB-2026-20260410010835.jpg</t>
  </si>
  <si>
    <t>AMIR HOSSAIN SARDER</t>
  </si>
  <si>
    <t>https://suvidha.eci.gov.in/ac/public/uploads2/candprofile/E32/2026/AC/s25/AMIRH-2026-20260409081551.jpg</t>
  </si>
  <si>
    <t>MD. SOHIDUL LASKAR</t>
  </si>
  <si>
    <t>https://suvidha.eci.gov.in/ac/public/uploads2/candprofile/E32/2026/AC/s25/MDSO-2026-20260408081508.jpg</t>
  </si>
  <si>
    <t>PHOOLTUSHY DUTTA</t>
  </si>
  <si>
    <t>https://suvidha.eci.gov.in/ac/public/uploads2/candprofile/E32/2026/AC/s25/PHOOL-2026-20260409081647.jpg</t>
  </si>
  <si>
    <t>MILAN DAS</t>
  </si>
  <si>
    <t>https://suvidha.eci.gov.in/ac/public/uploads2/candprofile/E32/2026/AC/s25/MILAN-2026-20260409081724.jpg</t>
  </si>
  <si>
    <t>BISWAJIT HALDER</t>
  </si>
  <si>
    <t>https://suvidha.eci.gov.in/ac/public/uploads2/candprofile/E32/2026/AC/s25/BISWA-2026-20260408081904.jpg</t>
  </si>
  <si>
    <t>ACHINTYA GHOSH</t>
  </si>
  <si>
    <t>https://suvidha.eci.gov.in/ac/public/uploads2/candprofile/E32/2026/AC/s25/ACHIN-2026-20260409081811.jpg</t>
  </si>
  <si>
    <t>MUMTAZ ALI</t>
  </si>
  <si>
    <t>https://suvidha.eci.gov.in/ac/public/uploads2/candprofile/E32/2026/AC/s25/MUMTA-2026-20260406070908.jpg</t>
  </si>
  <si>
    <t>GOURI NASKAR</t>
  </si>
  <si>
    <t>https://suvidha.eci.gov.in/ac/public/uploads2/candprofile/E32/2026/AC/s25/GOURI-2026-20260408082849.jpg</t>
  </si>
  <si>
    <t>SAURAV DAS</t>
  </si>
  <si>
    <t>https://suvidha.eci.gov.in/ac/public/uploads2/candprofile/E32/2026/AC/S25/SAURA-2026-20260409063513.jpg</t>
  </si>
  <si>
    <t>SAMAR KUMAR GHOSH</t>
  </si>
  <si>
    <t>https://suvidha.eci.gov.in/ac/public/uploads2/candprofile/E32/2026/AC/S25/SAMAR-2026-20260410065653.jpg</t>
  </si>
  <si>
    <t>KRISHNENDU PRAMANIK</t>
  </si>
  <si>
    <t>https://suvidha.eci.gov.in/ac/public/uploads2/candprofile/E32/2026/AC/s25/KRISH-2026-20260408082913.jpg</t>
  </si>
  <si>
    <t>SOMNATH MALIK</t>
  </si>
  <si>
    <t>https://suvidha.eci.gov.in/ac/public/uploads2/candprofile/E32/2026/AC/s25/SOMNA-2026-20260409060855.jpg</t>
  </si>
  <si>
    <t>SAMIR KUNDU</t>
  </si>
  <si>
    <t>https://suvidha.eci.gov.in/ac/public/uploads2/candprofile/E32/2026/AC/s25/SAMIR-2026-20260407085325.jpg</t>
  </si>
  <si>
    <t>MOLAY GHOSH</t>
  </si>
  <si>
    <t>https://suvidha.eci.gov.in/ac/public/uploads2/candprofile/E32/2026/AC/S25/MOLAY-2026-20260409061731.jpg</t>
  </si>
  <si>
    <t>HASIBUL ISLAM MIR</t>
  </si>
  <si>
    <t>https://suvidha.eci.gov.in/ac/public/uploads2/candprofile/E32/2026/AC/s25/HASIB-2026-20260409104825.jpg</t>
  </si>
  <si>
    <t>HAYDAR ALI MONDAL</t>
  </si>
  <si>
    <t>https://suvidha.eci.gov.in/ac/public/uploads2/candprofile/E32/2026/AC/S25/HAYDA-2026-20260414040750.jpg</t>
  </si>
  <si>
    <t>SHRIRUP DAS</t>
  </si>
  <si>
    <t>https://suvidha.eci.gov.in/ac/public/uploads2/candprofile/E32/2026/AC/S25/SHRIR-2026-20260404060851.jpg</t>
  </si>
  <si>
    <t>RAJ ROY</t>
  </si>
  <si>
    <t>https://suvidha.eci.gov.in/ac/public/uploads2/candprofile/E32/2026/AC/s25/RAJRO-2026-20260409062511.jpg</t>
  </si>
  <si>
    <t>SHUBHRANGSHU BHAKTA</t>
  </si>
  <si>
    <t>https://suvidha.eci.gov.in/ac/public/uploads2/candprofile/E32/2026/AC/s25/SHUBH-2026-20260408084626.jpg</t>
  </si>
  <si>
    <t>RINA ADHIKARI ROY</t>
  </si>
  <si>
    <t>https://suvidha.eci.gov.in/ac/public/uploads2/candprofile/E32/2026/AC/s25/RINAA-2026-20260402070903.jpg</t>
  </si>
  <si>
    <t>https://suvidha.eci.gov.in/ac/public/uploads2/candprofile/E32/2026/AC/s25/SUJIT-2026-20260409105946.jpg</t>
  </si>
  <si>
    <t>HARIRAM SINGH</t>
  </si>
  <si>
    <t>https://suvidha.eci.gov.in/ac/public/uploads2/candprofile/E32/2026/AC/s25/HARIR-2026-20260408084907.jpg</t>
  </si>
  <si>
    <t>SANJIT GHORUI</t>
  </si>
  <si>
    <t>https://suvidha.eci.gov.in/ac/public/uploads2/candprofile/E32/2026/AC/s25/SANJI-2026-20260408061117.jpg</t>
  </si>
  <si>
    <t>MATHURA GHOSH</t>
  </si>
  <si>
    <t>https://suvidha.eci.gov.in/ac/public/uploads2/candprofile/E32/2026/AC/s25/MATHU-2026-20260407053608.jpg</t>
  </si>
  <si>
    <t>ABANIMOHAN ROY</t>
  </si>
  <si>
    <t>https://suvidha.eci.gov.in/ac/public/uploads2/candprofile/E32/2026/AC/s25/ABANI-2026-20260409063210.jpg</t>
  </si>
  <si>
    <t>DEBASISH GHOSH DASTIDAR</t>
  </si>
  <si>
    <t>https://suvidha.eci.gov.in/ac/public/uploads2/candprofile/E32/2026/AC/s25/DEBAS-2026-20260407112718.jpg</t>
  </si>
  <si>
    <t>MD EHSAN ELAHI</t>
  </si>
  <si>
    <t>https://suvidha.eci.gov.in/ac/public/uploads2/candprofile/E32/2026/AC/s25/MDEHS-2026-20260408061429.jpg</t>
  </si>
  <si>
    <t>DEBASRI SAHU</t>
  </si>
  <si>
    <t>https://suvidha.eci.gov.in/ac/public/uploads2/candprofile/E32/2026/AC/s25/DEBAS-2026-20260408085536.jpg</t>
  </si>
  <si>
    <t>SAFIKUL ISLAM DAFADAR</t>
  </si>
  <si>
    <t>Vikas India Party</t>
  </si>
  <si>
    <t>https://suvidha.eci.gov.in/ac/public/uploads2/candprofile/E32/2026/AC/S25/SAFIK-2026-20260408011935.jpg</t>
  </si>
  <si>
    <t>IMAMUL HASAN MULLIK</t>
  </si>
  <si>
    <t>https://suvidha.eci.gov.in/ac/public/uploads2/candprofile/E32/2026/AC/S25/IMAMU-2026-20260409090110.jpg</t>
  </si>
  <si>
    <t>JABA SARKAR</t>
  </si>
  <si>
    <t>https://suvidha.eci.gov.in/ac/public/uploads2/candprofile/E32/2026/AC/s25/JABAS-2026-20260409085511.jpg</t>
  </si>
  <si>
    <t>MILAN SARKAR</t>
  </si>
  <si>
    <t>https://suvidha.eci.gov.in/ac/public/uploads2/candprofile/E32/2026/AC/s25/MILAN-2026-20260409085628.jpg</t>
  </si>
  <si>
    <t>LUXMI NARAYAN KORA</t>
  </si>
  <si>
    <t>https://suvidha.eci.gov.in/ac/public/uploads2/candprofile/E32/2026/AC/S25/LUXMI-2026-20260409071101.jpg</t>
  </si>
  <si>
    <t>RAKESH ROY</t>
  </si>
  <si>
    <t>https://suvidha.eci.gov.in/ac/public/uploads2/candprofile/E32/2026/AC/s25/RAKES-2026-20260408061958.jpg</t>
  </si>
  <si>
    <t>TAPAN BISWAS</t>
  </si>
  <si>
    <t>https://suvidha.eci.gov.in/ac/public/uploads2/candprofile/E32/2026/AC/S25/TAPAN-2026-20260406074557.jpg</t>
  </si>
  <si>
    <t>https://suvidha.eci.gov.in/ac/public/uploads2/candprofile/E32/2026/AC/s25/TUMPA-2026-20260408013431.jpg</t>
  </si>
  <si>
    <t>PRADIP SARKAR</t>
  </si>
  <si>
    <t>https://suvidha.eci.gov.in/ac/public/uploads2/candprofile/E32/2026/AC/s25/PRADI-2026-20260408091635.jpg</t>
  </si>
  <si>
    <t>SEKH FIROJ</t>
  </si>
  <si>
    <t>https://suvidha.eci.gov.in/ac/public/uploads2/candprofile/E32/2026/AC/s25/SEKHF-2026-20260409064245.jpg</t>
  </si>
  <si>
    <t>MOHIT BANERJEE</t>
  </si>
  <si>
    <t>https://suvidha.eci.gov.in/ac/public/uploads2/candprofile/E32/2026/AC/s25/MOHIT-2026-20260409085942.jpg</t>
  </si>
  <si>
    <t>REHENA RAHAMAN</t>
  </si>
  <si>
    <t>https://suvidha.eci.gov.in/ac/public/uploads2/candprofile/E32/2026/AC/s25/REHEN-2026-20260408091808.jpg</t>
  </si>
  <si>
    <t>https://suvidha.eci.gov.in/ac/public/uploads2/candprofile/E32/2026/AC/s25/BINAM-2026-20260409085951.jpg</t>
  </si>
  <si>
    <t>SUKHCHAND GHOSH</t>
  </si>
  <si>
    <t>https://suvidha.eci.gov.in/ac/public/uploads2/candprofile/E32/2026/AC/s25/SUKHC-2026-20260409113602.jpg</t>
  </si>
  <si>
    <t>SANTOSH KUMAR SINGH (S. K. SINGH)</t>
  </si>
  <si>
    <t>https://suvidha.eci.gov.in/ac/public/uploads2/candprofile/E32/2026/AC/s25/SANTO-2026-20260406042156.jpg</t>
  </si>
  <si>
    <t>ATRASTA NATH</t>
  </si>
  <si>
    <t>https://suvidha.eci.gov.in/ac/public/uploads2/candprofile/E32/2026/AC/s25/ATRAS-2026-20260409064851.jpg</t>
  </si>
  <si>
    <t>SHEKH IMANUR RAHMAN</t>
  </si>
  <si>
    <t>https://suvidha.eci.gov.in/ac/public/uploads2/candprofile/E32/2026/AC/s25/SHEKH-2026-20260409065114.jpg</t>
  </si>
  <si>
    <t>PULAK ADHIKARY</t>
  </si>
  <si>
    <t>https://suvidha.eci.gov.in/ac/public/uploads2/candprofile/E32/2026/AC/s25/PULAK-2026-20260409114934.jpg</t>
  </si>
  <si>
    <t>BARUN PATRA</t>
  </si>
  <si>
    <t>https://suvidha.eci.gov.in/ac/public/uploads2/candprofile/E32/2026/AC/s25/BARUN-2026-20260409115217.jpg</t>
  </si>
  <si>
    <t>HARISH CHANDRA SARDAR</t>
  </si>
  <si>
    <t>https://suvidha.eci.gov.in/ac/public/uploads2/candprofile/E32/2026/AC/s25/HARIS-2026-20260407024045.jpg</t>
  </si>
  <si>
    <t>DULU DEY</t>
  </si>
  <si>
    <t>https://suvidha.eci.gov.in/ac/public/uploads2/candprofile/E32/2026/AC/s25/DULUD-2026-20260408025712.jpg</t>
  </si>
  <si>
    <t>MOHIUDDIN MONDAL</t>
  </si>
  <si>
    <t>https://suvidha.eci.gov.in/ac/public/uploads2/candprofile/E32/2026/AC/s25/MOHIU-2026-20260404050815.jpg</t>
  </si>
  <si>
    <t>AKIYABUL MIDDYA</t>
  </si>
  <si>
    <t>https://suvidha.eci.gov.in/ac/public/uploads2/candprofile/E32/2026/AC/s25/AKIYA-2026-20260408031821.jpg</t>
  </si>
  <si>
    <t>ANIMESH BISWAS</t>
  </si>
  <si>
    <t>https://suvidha.eci.gov.in/ac/public/uploads2/candprofile/E32/2026/AC/s25/ANIME-2026-20260408063632.jpg</t>
  </si>
  <si>
    <t>HASANUR RAHAMAN MOLLA</t>
  </si>
  <si>
    <t>https://suvidha.eci.gov.in/ac/public/uploads2/candprofile/E32/2026/AC/s25/HASAN-2026-20260408095847.jpg</t>
  </si>
  <si>
    <t>PINTU PYNE</t>
  </si>
  <si>
    <t>https://suvidha.eci.gov.in/ac/public/uploads2/candprofile/E32/2026/AC/s25/PINTU-2026-20260409090819.jpg</t>
  </si>
  <si>
    <t>SIRAJ ALI MOLLA</t>
  </si>
  <si>
    <t>https://suvidha.eci.gov.in/ac/public/uploads2/candprofile/E32/2026/AC/s25/SIRAJ-2026-20260409090909.jpg</t>
  </si>
  <si>
    <t>Sahariar Mullick</t>
  </si>
  <si>
    <t>https://suvidha.eci.gov.in/ac/public/uploads2/candprofile/E32/2026/AC/s25/Sahar-2026-20260409115938.jpg</t>
  </si>
  <si>
    <t>JISHNUDEEP MAJUMDAR</t>
  </si>
  <si>
    <t>https://suvidha.eci.gov.in/ac/public/uploads2/candprofile/E32/2026/AC/s25/JISHN-2026-20260406073944.jpg</t>
  </si>
  <si>
    <t>SANAT KARMAKAR</t>
  </si>
  <si>
    <t>https://suvidha.eci.gov.in/ac/public/uploads2/candprofile/E32/2026/AC/s25/SANAT-2026-20260408064211.jpg</t>
  </si>
  <si>
    <t>CHANDRA KANTA JAISWAL</t>
  </si>
  <si>
    <t>https://suvidha.eci.gov.in/ac/public/uploads2/candprofile/E32/2026/AC/s25/CHAND-2026-20260409091144.jpg</t>
  </si>
  <si>
    <t>REJINA BEGAM</t>
  </si>
  <si>
    <t>https://suvidha.eci.gov.in/ac/public/uploads2/candprofile/E32/2026/AC/s25/REJIN-2026-20260410122456.jpg</t>
  </si>
  <si>
    <t>HARAPRASAD BAG</t>
  </si>
  <si>
    <t>https://suvidha.eci.gov.in/ac/public/uploads2/candprofile/E32/2026/AC/s25/HARAP-2026-20260408064432.jpg</t>
  </si>
  <si>
    <t>PROBODH KUMAR SARKAR</t>
  </si>
  <si>
    <t>https://suvidha.eci.gov.in/ac/public/uploads2/candprofile/E32/2026/AC/S25/PROBO-2026-20260404123850.jpg</t>
  </si>
  <si>
    <t>MRINAL MALLICK</t>
  </si>
  <si>
    <t>https://suvidha.eci.gov.in/ac/public/uploads2/candprofile/E32/2026/AC/s25/MRINA-2026-20260409120019.jpg</t>
  </si>
  <si>
    <t>SIPPY TEWARY</t>
  </si>
  <si>
    <t>https://suvidha.eci.gov.in/ac/public/uploads2/candprofile/E32/2026/AC/s25/SIPPY-2026-20260407055854.jpg</t>
  </si>
  <si>
    <t>HARIPADA BISWAS</t>
  </si>
  <si>
    <t>https://suvidha.eci.gov.in/ac/public/uploads2/candprofile/E32/2026/AC/s25/HARIP-2026-20260409091542.jpg</t>
  </si>
  <si>
    <t>IZAHARUL HAQUE</t>
  </si>
  <si>
    <t>https://suvidha.eci.gov.in/ac/public/uploads2/candprofile/E32/2026/AC/s25/IZAHA-2026-20260409125016.jpg</t>
  </si>
  <si>
    <t>ATANU DAS</t>
  </si>
  <si>
    <t>https://suvidha.eci.gov.in/ac/public/uploads2/candprofile/E32/2026/AC/s25/ATANU-2026-20260409070856.jpg</t>
  </si>
  <si>
    <t>SUNIL NASKAR</t>
  </si>
  <si>
    <t>https://suvidha.eci.gov.in/ac/public/uploads2/candprofile/E32/2026/AC/s25/SUNIL-2026-20260402073233.jpg</t>
  </si>
  <si>
    <t>BISWANATH DEY</t>
  </si>
  <si>
    <t>https://suvidha.eci.gov.in/ac/public/uploads2/candprofile/E32/2026/AC/s25/BISWA-2026-20260409070904.jpg</t>
  </si>
  <si>
    <t>SANJU POREL</t>
  </si>
  <si>
    <t>https://suvidha.eci.gov.in/ac/public/uploads2/candprofile/E32/2026/AC/s25/SANJU-2026-20260410014910.jpg</t>
  </si>
  <si>
    <t>KANCHAN SONKAR</t>
  </si>
  <si>
    <t>https://suvidha.eci.gov.in/ac/public/uploads2/candprofile/E32/2026/AC/S25/KANCH-2026-20260409121447.jpg</t>
  </si>
  <si>
    <t>REKHARANI MRIDHA</t>
  </si>
  <si>
    <t>https://suvidha.eci.gov.in/ac/public/uploads2/candprofile/E32/2026/AC/s25/REKHA-2026-20260409071301.jpg</t>
  </si>
  <si>
    <t>TUHIN INDRA</t>
  </si>
  <si>
    <t>https://suvidha.eci.gov.in/ac/public/uploads2/candprofile/E32/2026/AC/S25/TUHIN-2026-20260409094501.jpg</t>
  </si>
  <si>
    <t>MADHUMITA GHOSH W/O MITHUN GHOSH</t>
  </si>
  <si>
    <t>https://suvidha.eci.gov.in/ac/public/uploads2/candprofile/E32/2026/AC/s25/MADHU-2026-20260408065148.jpg</t>
  </si>
  <si>
    <t>RAJ KUMAR MALIK</t>
  </si>
  <si>
    <t>https://suvidha.eci.gov.in/ac/public/uploads2/candprofile/E32/2026/AC/s25/RAJKU-2026-20260409021255.jpg</t>
  </si>
  <si>
    <t>NITAI RARHI</t>
  </si>
  <si>
    <t>https://suvidha.eci.gov.in/ac/public/uploads2/candprofile/E32/2026/AC/s25/NITAI-2026-20260409022019.jpg</t>
  </si>
  <si>
    <t>ASHOK KUMAR ROY</t>
  </si>
  <si>
    <t>https://suvidha.eci.gov.in/ac/public/uploads2/candprofile/E32/2026/AC/s25/ASHOK-2026-20260409022750.jpg</t>
  </si>
  <si>
    <t>SWAPAN KUMAR ROY</t>
  </si>
  <si>
    <t>Party for Democratic Socialism</t>
  </si>
  <si>
    <t>https://suvidha.eci.gov.in/ac/public/uploads2/candprofile/E32/2026/AC/s25/SWAPA-2026-20260407061320.jpg</t>
  </si>
  <si>
    <t>ABUL KASHEM</t>
  </si>
  <si>
    <t>https://suvidha.eci.gov.in/ac/public/uploads2/candprofile/E32/2026/AC/s25/ABULK-2026-20260408042504.jpg</t>
  </si>
  <si>
    <t>BUDDHADEB (ALI)</t>
  </si>
  <si>
    <t>https://suvidha.eci.gov.in/ac/public/uploads2/candprofile/E32/2026/AC/s25/BUDDH-2026-20260408071153.jpg</t>
  </si>
  <si>
    <t>ASHOK DAS</t>
  </si>
  <si>
    <t>https://suvidha.eci.gov.in/ac/public/uploads2/candprofile/E32/2026/AC/S25/ASHOK-2026-20260407064448.jpg</t>
  </si>
  <si>
    <t>TAPAS PAUL</t>
  </si>
  <si>
    <t>https://suvidha.eci.gov.in/ac/public/uploads2/candprofile/E32/2026/AC/s25/TAPAS-2026-20260408043028.jpg</t>
  </si>
  <si>
    <t>MD MAFUZUDDIN MONDAL</t>
  </si>
  <si>
    <t>https://suvidha.eci.gov.in/ac/public/uploads2/candprofile/E32/2026/AC/s25/MDMA-2026-20260409071552.jpg</t>
  </si>
  <si>
    <t>NIRMAL MAJI</t>
  </si>
  <si>
    <t>https://suvidha.eci.gov.in/ac/public/uploads2/candprofile/E32/2026/AC/s25/NIRMA-2026-20260409092812.jpg</t>
  </si>
  <si>
    <t>HARAN MONDAL</t>
  </si>
  <si>
    <t>https://suvidha.eci.gov.in/ac/public/uploads2/candprofile/E32/2026/AC/S25/HARAN-2026-20260410041239.jpg</t>
  </si>
  <si>
    <t>DEBASHISH BISWAS</t>
  </si>
  <si>
    <t>https://suvidha.eci.gov.in/ac/public/uploads2/candprofile/E32/2026/AC/s25/DEBAS-2026-20260408071610.jpg</t>
  </si>
  <si>
    <t>SUBHAM MONDAL</t>
  </si>
  <si>
    <t>https://suvidha.eci.gov.in/ac/public/uploads2/candprofile/E32/2026/AC/s25/SUBHA-2026-20260409032152.jpg</t>
  </si>
  <si>
    <t>DIPAK PATRA</t>
  </si>
  <si>
    <t>https://suvidha.eci.gov.in/ac/public/uploads2/candprofile/E32/2026/AC/s25/DIPAK-2026-20260409072002.jpg</t>
  </si>
  <si>
    <t>SAMIR KUMAR MONDAL</t>
  </si>
  <si>
    <t>https://suvidha.eci.gov.in/ac/public/uploads2/candprofile/E32/2026/AC/s25/SAMIR-2026-20260409093139.jpg</t>
  </si>
  <si>
    <t>SEKH MOJAMMEL HAQUE (MONI)</t>
  </si>
  <si>
    <t>https://suvidha.eci.gov.in/ac/public/uploads2/candprofile/E32/2026/AC/s25/SEKHM-2026-20260404040000.jpg</t>
  </si>
  <si>
    <t>TUSHAR KANTI HALDER</t>
  </si>
  <si>
    <t>https://suvidha.eci.gov.in/ac/public/uploads2/candprofile/E32/2026/AC/S25/TUSHA-2026-20260413050932.jpg</t>
  </si>
  <si>
    <t>GOBINDA NASKAR</t>
  </si>
  <si>
    <t>https://suvidha.eci.gov.in/ac/public/uploads2/candprofile/E32/2026/AC/S25/GOBIN-2026-20260410044048.jpg</t>
  </si>
  <si>
    <t>BISWAJIT MAITY</t>
  </si>
  <si>
    <t>https://suvidha.eci.gov.in/ac/public/uploads2/candprofile/E32/2026/AC/s25/BISWA-2026-20260407042549.jpg</t>
  </si>
  <si>
    <t>SWADHIN CHOUDHURY</t>
  </si>
  <si>
    <t>https://suvidha.eci.gov.in/ac/public/uploads2/candprofile/E32/2026/AC/s25/SWADH-2026-20260409040607.jpg</t>
  </si>
  <si>
    <t>TAPAS MONDAL S/O-ASHOK MONDAL</t>
  </si>
  <si>
    <t>https://suvidha.eci.gov.in/ac/public/uploads2/candprofile/E32/2026/AC/s25/TAPAS-2026-20260409094321.jpg</t>
  </si>
  <si>
    <t>KAJAL BAHAK</t>
  </si>
  <si>
    <t>https://suvidha.eci.gov.in/ac/public/uploads2/candprofile/E32/2026/AC/s25/KAJAL-2026-20260409094428.jpg</t>
  </si>
  <si>
    <t>https://suvidha.eci.gov.in/ac/public/uploads2/candprofile/E32/2026/AC/s25/TAPAS-2026-20260408050347.jpg</t>
  </si>
  <si>
    <t>MAMONI ADHIKARI (BAIDYA)</t>
  </si>
  <si>
    <t>https://suvidha.eci.gov.in/ac/public/uploads2/candprofile/E32/2026/AC/S25/MAMON-2026-20260408052705.jpg</t>
  </si>
  <si>
    <t>PRAMOD SINGH</t>
  </si>
  <si>
    <t>https://suvidha.eci.gov.in/ac/public/uploads2/candprofile/E32/2026/AC/s25/PRAMO-2026-20260408050941.jpg</t>
  </si>
  <si>
    <t>PROSANTA MRIDHA</t>
  </si>
  <si>
    <t>https://suvidha.eci.gov.in/ac/public/uploads2/candprofile/E32/2026/AC/s25/PROSA-2026-20260409050057.jpg</t>
  </si>
  <si>
    <t>DIPALI BAURI</t>
  </si>
  <si>
    <t>https://suvidha.eci.gov.in/ac/public/uploads2/candprofile/E32/2026/AC/s25/DIPAL-2026-20260409051243.jpg</t>
  </si>
  <si>
    <t>GAURAB PRASAD</t>
  </si>
  <si>
    <t>https://suvidha.eci.gov.in/ac/public/uploads2/candprofile/E32/2026/AC/s25/GAURA-2026-20260409074748.jpg</t>
  </si>
  <si>
    <t>EKRAMUL SEKH</t>
  </si>
  <si>
    <t>https://suvidha.eci.gov.in/ac/public/uploads2/candprofile/E32/2026/AC/s25/EKRAM-2026-20260409095057.jpg</t>
  </si>
  <si>
    <t>JYOTSNA RANG</t>
  </si>
  <si>
    <t>https://suvidha.eci.gov.in/ac/public/uploads2/candprofile/E32/2026/AC/s25/JYOTS-2026-20260409095145.jpg</t>
  </si>
  <si>
    <t>https://suvidha.eci.gov.in/ac/public/uploads2/candprofile/E32/2026/AC/s25/ASIMB-2026-20260408073826.jpg</t>
  </si>
  <si>
    <t>PABITRA ROY</t>
  </si>
  <si>
    <t>https://suvidha.eci.gov.in/ac/public/uploads2/candprofile/E32/2026/AC/S25/PABIT-2026-20260413040102.jpg</t>
  </si>
  <si>
    <t>BARNALI GHOSH</t>
  </si>
  <si>
    <t>https://suvidha.eci.gov.in/ac/public/uploads2/candprofile/E32/2026/AC/S25/BARNA-2026-20260410115536.jpg</t>
  </si>
  <si>
    <t>MADHABI BISWAS</t>
  </si>
  <si>
    <t>https://suvidha.eci.gov.in/ac/public/uploads2/candprofile/E32/2026/AC/s25/MADHA-2026-20260409100016.jpg</t>
  </si>
  <si>
    <t>BIMAL KANTI NASKAR</t>
  </si>
  <si>
    <t>https://suvidha.eci.gov.in/ac/public/uploads2/candprofile/E32/2026/AC/s25/BIMAL-2026-20260408052143.jpg</t>
  </si>
  <si>
    <t>NAZIR AHMED</t>
  </si>
  <si>
    <t>https://suvidha.eci.gov.in/ac/public/uploads2/candprofile/E32/2026/AC/s25/NAZIR-2026-20260408074622.jpg</t>
  </si>
  <si>
    <t>KOUSHIK ADHIKARY</t>
  </si>
  <si>
    <t>https://suvidha.eci.gov.in/ac/public/uploads2/candprofile/E32/2026/AC/s25/KOUSH-2026-20260409053546.jpg</t>
  </si>
  <si>
    <t>SUBRATA NASKAR</t>
  </si>
  <si>
    <t>https://suvidha.eci.gov.in/ac/public/uploads2/candprofile/E32/2026/AC/s25/SUBRA-2026-20260409100124.jpg</t>
  </si>
  <si>
    <t>https://suvidha.eci.gov.in/ac/public/uploads2/candprofile/E32/2026/AC/s25/TAPAN-2026-20260409075804.jpg</t>
  </si>
  <si>
    <t>https://suvidha.eci.gov.in/ac/public/uploads2/candprofile/E32/2026/AC/s25/GOPAL-2026-20260408074923.jpg</t>
  </si>
  <si>
    <t>SANJIB MONDAL</t>
  </si>
  <si>
    <t>https://suvidha.eci.gov.in/ac/public/uploads2/candprofile/E32/2026/AC/s25/SANJI-2026-20260407050126.jpg</t>
  </si>
  <si>
    <t>ARUP DAS</t>
  </si>
  <si>
    <t>https://suvidha.eci.gov.in/ac/public/uploads2/candprofile/E32/2026/AC/s25/ARUPD-2026-20260409054020.jpg</t>
  </si>
  <si>
    <t>UTPAL GHOSH</t>
  </si>
  <si>
    <t>https://suvidha.eci.gov.in/ac/public/uploads2/candprofile/E32/2026/AC/s25/UTPAL-2026-20260409054034.jpg</t>
  </si>
  <si>
    <t>DILIP DAS</t>
  </si>
  <si>
    <t>https://suvidha.eci.gov.in/ac/public/uploads2/candprofile/E32/2026/AC/S25/DILIP-2026-20260411023536.jpg</t>
  </si>
  <si>
    <t>AMIT CHAKRABORTY</t>
  </si>
  <si>
    <t>https://suvidha.eci.gov.in/ac/public/uploads2/candprofile/E32/2026/AC/s25/AMITC-2026-20260409100755.jpg</t>
  </si>
  <si>
    <t>NIRMALYA SING</t>
  </si>
  <si>
    <t>https://suvidha.eci.gov.in/ac/public/uploads2/candprofile/E32/2026/AC/S25/NIRMA-2026-20260410022406.jpg</t>
  </si>
  <si>
    <t>TUNTUN YADAV</t>
  </si>
  <si>
    <t>https://suvidha.eci.gov.in/ac/public/uploads2/candprofile/E32/2026/AC/S25/TUNTU-2026-20260409014101.jpg</t>
  </si>
  <si>
    <t>https://suvidha.eci.gov.in/ac/public/uploads2/candprofile/E32/2026/AC/S25/ABHIJ-2026-20260410024328.jpg</t>
  </si>
  <si>
    <t>UJJAL RAY</t>
  </si>
  <si>
    <t>https://suvidha.eci.gov.in/ac/public/uploads2/candprofile/E32/2026/AC/s25/UJJAL-2026-20260408080242.jpg</t>
  </si>
  <si>
    <t>SOUMENDRA NATH SARDAR</t>
  </si>
  <si>
    <t>https://suvidha.eci.gov.in/ac/public/uploads2/candprofile/E32/2026/AC/s25/SOUME-2026-20260409101221.jpg</t>
  </si>
  <si>
    <t>UTTAM KUMAR DAS</t>
  </si>
  <si>
    <t>https://suvidha.eci.gov.in/ac/public/uploads2/candprofile/E32/2026/AC/s25/UTTAM-2026-20260409101546.jpg</t>
  </si>
  <si>
    <t>AMAL KUMAR BARMAN</t>
  </si>
  <si>
    <t>https://suvidha.eci.gov.in/ac/public/uploads2/candprofile/E32/2026/AC/S25/AMALK-2026-20260409115239.jpg</t>
  </si>
  <si>
    <t>DIPAK HALDER</t>
  </si>
  <si>
    <t>https://suvidha.eci.gov.in/ac/public/uploads2/candprofile/E32/2026/AC/s25/DIPAK-2026-20260408081039.jpg</t>
  </si>
  <si>
    <t>SENAPATI BAGDI</t>
  </si>
  <si>
    <t>https://suvidha.eci.gov.in/ac/public/uploads2/candprofile/E32/2026/AC/s25/SENAP-2026-20260408081424.jpg</t>
  </si>
  <si>
    <t>https://suvidha.eci.gov.in/ac/public/uploads2/candprofile/E32/2026/AC/S25/DIPAN-2026-20260410021527.jpg</t>
  </si>
  <si>
    <t>PANKAJ THAKKAR</t>
  </si>
  <si>
    <t>https://suvidha.eci.gov.in/ac/public/uploads2/candprofile/E32/2026/AC/s25/PANKA-2026-20260407074426.jpg</t>
  </si>
  <si>
    <t>PRATIMA SAHA</t>
  </si>
  <si>
    <t>https://suvidha.eci.gov.in/ac/public/uploads2/candprofile/E32/2026/AC/s25/PRATI-2026-20260409102439.jpg</t>
  </si>
  <si>
    <t>TANUJIT DAS</t>
  </si>
  <si>
    <t>https://suvidha.eci.gov.in/ac/public/uploads2/candprofile/E32/2026/AC/s25/TANUJ-2026-20260407074603.jpg</t>
  </si>
  <si>
    <t>AVIK BASU THAKUR</t>
  </si>
  <si>
    <t>https://suvidha.eci.gov.in/ac/public/uploads2/candprofile/E32/2026/AC/s25/AVIKB-2026-20260409102603.jpg</t>
  </si>
  <si>
    <t>PALASH SAMANTA</t>
  </si>
  <si>
    <t>https://suvidha.eci.gov.in/ac/public/uploads2/candprofile/E32/2026/AC/s25/PALAS-2026-20260406041037.jpg</t>
  </si>
  <si>
    <t>BARNALI MONDAL</t>
  </si>
  <si>
    <t>https://suvidha.eci.gov.in/ac/public/uploads2/candprofile/E32/2026/AC/s25/BARNA-2026-20260409060320.jpg</t>
  </si>
  <si>
    <t>TILAK MONDAL</t>
  </si>
  <si>
    <t>https://suvidha.eci.gov.in/ac/public/uploads2/candprofile/E32/2026/AC/s25/TILAK-2026-20260408082217.jpg</t>
  </si>
  <si>
    <t>PRATAP BAIDYA</t>
  </si>
  <si>
    <t>https://suvidha.eci.gov.in/ac/public/uploads2/candprofile/E32/2026/AC/s25/PRATA-2026-20260409082259.jpg</t>
  </si>
  <si>
    <t>REKHA MONDAL</t>
  </si>
  <si>
    <t>https://suvidha.eci.gov.in/ac/public/uploads2/candprofile/E32/2026/AC/s25/REKHA-2026-20260408054603.jpg</t>
  </si>
  <si>
    <t>SAJAL KUMAR GHOSH</t>
  </si>
  <si>
    <t>https://suvidha.eci.gov.in/ac/public/uploads2/candprofile/E32/2026/AC/s25/SAJAL-2026-20260408083138.jpg</t>
  </si>
  <si>
    <t>SANTANU DUTTA</t>
  </si>
  <si>
    <t>https://suvidha.eci.gov.in/ac/public/uploads2/candprofile/E32/2026/AC/s25/SANTA-2026-20260409061036.jpg</t>
  </si>
  <si>
    <t>SAROJ SHARMA</t>
  </si>
  <si>
    <t>https://suvidha.eci.gov.in/ac/public/uploads2/candprofile/E32/2026/AC/s25/SAROJ-2026-20260409061143.jpg</t>
  </si>
  <si>
    <t>PRANAB SAMANTA</t>
  </si>
  <si>
    <t>https://suvidha.eci.gov.in/ac/public/uploads2/candprofile/E32/2026/AC/S25/PRANA-2026-20260408084057.jpg</t>
  </si>
  <si>
    <t>SHARMA BAPPA</t>
  </si>
  <si>
    <t>https://suvidha.eci.gov.in/ac/public/uploads2/candprofile/E32/2026/AC/s25/BAPPA-2026-20260409104852.jpg</t>
  </si>
  <si>
    <t>https://suvidha.eci.gov.in/ac/public/uploads2/candprofile/E32/2026/AC/s25/NARAY-2026-20260409105134.jpg</t>
  </si>
  <si>
    <t>JUDHISTHIR SARKAR</t>
  </si>
  <si>
    <t>https://suvidha.eci.gov.in/ac/public/uploads2/candprofile/E32/2026/AC/s25/JUDHI-2026-20260409084046.jpg</t>
  </si>
  <si>
    <t>SUJIT PAL</t>
  </si>
  <si>
    <t>https://suvidha.eci.gov.in/ac/public/uploads2/candprofile/E32/2026/AC/s25/SUJIT-2026-20260409105415.jpg</t>
  </si>
  <si>
    <t>IKBAL MOLLA</t>
  </si>
  <si>
    <t>https://suvidha.eci.gov.in/ac/public/uploads2/candprofile/E32/2026/AC/s25/IKBAL-2026-20260409084616.jpg</t>
  </si>
  <si>
    <t>SHYAM BAR</t>
  </si>
  <si>
    <t>https://suvidha.eci.gov.in/ac/public/uploads2/candprofile/E32/2026/AC/S25/SHYAM-2026-20260410011209.jpg</t>
  </si>
  <si>
    <t>PRITAMBAR DAS</t>
  </si>
  <si>
    <t>https://suvidha.eci.gov.in/ac/public/uploads2/candprofile/E32/2026/AC/s25/PRITA-2026-20260409110005.jpg</t>
  </si>
  <si>
    <t>DINESH DAS</t>
  </si>
  <si>
    <t>https://suvidha.eci.gov.in/ac/public/uploads2/candprofile/E32/2026/AC/s25/DINES-2026-20260408061008.jpg</t>
  </si>
  <si>
    <t>BHABADEB BISWAS</t>
  </si>
  <si>
    <t>https://suvidha.eci.gov.in/ac/public/uploads2/candprofile/E32/2026/AC/s25/BHABA-2026-20260408085102.jpg</t>
  </si>
  <si>
    <t>SUBRATA DAS</t>
  </si>
  <si>
    <t>https://suvidha.eci.gov.in/ac/public/uploads2/candprofile/E32/2026/AC/S25/SUBRA-2026-20260410070332.jpg</t>
  </si>
  <si>
    <t>TINKU KAYAL</t>
  </si>
  <si>
    <t>https://suvidha.eci.gov.in/ac/public/uploads2/candprofile/E32/2026/AC/s25/TINKU-2026-20260408085418.jpg</t>
  </si>
  <si>
    <t>SUROJ PHUSTI</t>
  </si>
  <si>
    <t>https://suvidha.eci.gov.in/ac/public/uploads2/candprofile/E32/2026/AC/S25/SUROJ-2026-20260409064619.jpg</t>
  </si>
  <si>
    <t>JAYANTA KUMAR BANERJEE</t>
  </si>
  <si>
    <t>https://suvidha.eci.gov.in/ac/public/uploads2/candprofile/E32/2026/AC/S25/JAYAN-2026-20260409074639.jpg</t>
  </si>
  <si>
    <t>ABHIMANYU SHANDILYA</t>
  </si>
  <si>
    <t>https://suvidha.eci.gov.in/ac/public/uploads2/candprofile/E32/2026/AC/S25/ABHIM-2026-20260408062619.jpg</t>
  </si>
  <si>
    <t>JAYDEB SANTRA</t>
  </si>
  <si>
    <t>https://suvidha.eci.gov.in/ac/public/uploads2/candprofile/E32/2026/AC/s25/JAYDE-2026-20260408090216.jpg</t>
  </si>
  <si>
    <t>SANJIT PATRA</t>
  </si>
  <si>
    <t>https://suvidha.eci.gov.in/ac/public/uploads2/candprofile/E32/2026/AC/s25/SANJI-2026-20260408125025.jpg</t>
  </si>
  <si>
    <t>https://suvidha.eci.gov.in/ac/public/uploads2/candprofile/E32/2026/AC/s25/SUBHA-2026-20260409085630.jpg</t>
  </si>
  <si>
    <t>DEBASHIS DAS</t>
  </si>
  <si>
    <t>https://suvidha.eci.gov.in/ac/public/uploads2/candprofile/E32/2026/AC/S25/DEBAS-2026-20260404043212.jpg</t>
  </si>
  <si>
    <t>DIPENDU ISAR</t>
  </si>
  <si>
    <t>https://suvidha.eci.gov.in/ac/public/uploads2/candprofile/E32/2026/AC/s25/DIPEN-2026-20260409064218.jpg</t>
  </si>
  <si>
    <t>DINESH SHAW</t>
  </si>
  <si>
    <t>https://suvidha.eci.gov.in/ac/public/uploads2/candprofile/E32/2026/AC/s25/DINES-2026-20260409113102.jpg</t>
  </si>
  <si>
    <t>SHIDDHARTHA SAMADDER</t>
  </si>
  <si>
    <t>https://suvidha.eci.gov.in/ac/public/uploads2/candprofile/E32/2026/AC/s25/SHIDD-2026-20260406062955.jpg</t>
  </si>
  <si>
    <t>IQBAL HOSSAIN</t>
  </si>
  <si>
    <t>https://suvidha.eci.gov.in/ac/public/uploads2/candprofile/E32/2026/AC/S25/IQBAL-2026-20260411084558.jpg</t>
  </si>
  <si>
    <t>AMAJIT BASU</t>
  </si>
  <si>
    <t>https://suvidha.eci.gov.in/ac/public/uploads2/candprofile/2026/ac/E32/S25/171/1775184311ABPassportPhotoScanned.jpg</t>
  </si>
  <si>
    <t>ASHISH DOLUI</t>
  </si>
  <si>
    <t>https://suvidha.eci.gov.in/ac/public/uploads2/candprofile/E32/2026/AC/s25/ASHIS-2026-20260408094454.jpg</t>
  </si>
  <si>
    <t>AMAL SARKAR</t>
  </si>
  <si>
    <t>https://suvidha.eci.gov.in/ac/public/uploads2/candprofile/E32/2026/AC/s25/AMALS-2026-20260409090631.jpg</t>
  </si>
  <si>
    <t>PROHALLAD NASKAR</t>
  </si>
  <si>
    <t>https://suvidha.eci.gov.in/ac/public/uploads2/candprofile/E32/2026/AC/s25/PROHA-2026-20260409065449.jpg</t>
  </si>
  <si>
    <t>ARAFAT SEKH</t>
  </si>
  <si>
    <t>https://suvidha.eci.gov.in/ac/public/uploads2/candprofile/E32/2026/AC/s25/ARAFA-2026-20260409090639.jpg</t>
  </si>
  <si>
    <t>https://suvidha.eci.gov.in/ac/public/uploads2/candprofile/E32/2026/AC/s25/MOUSU-2026-20260409090744.jpg</t>
  </si>
  <si>
    <t>https://suvidha.eci.gov.in/ac/public/uploads2/candprofile/E32/2026/AC/S25/HARIP-2026-20260409063923.jpg</t>
  </si>
  <si>
    <t>IMRAN ALI</t>
  </si>
  <si>
    <t>https://suvidha.eci.gov.in/ac/public/uploads2/candprofile/E32/2026/AC/S25/IMRAN-2026-20260410122015.jpg</t>
  </si>
  <si>
    <t>SK AKBAR ALI</t>
  </si>
  <si>
    <t>https://suvidha.eci.gov.in/ac/public/uploads2/candprofile/E32/2026/AC/s25/SKAKB-2026-20260409115735.jpg</t>
  </si>
  <si>
    <t>BISHWAJIT DAS</t>
  </si>
  <si>
    <t>https://suvidha.eci.gov.in/ac/public/uploads2/candprofile/E32/2026/AC/s25/BISHW-2026-20260410120234.jpg</t>
  </si>
  <si>
    <t>KEYA BISWAS</t>
  </si>
  <si>
    <t>https://suvidha.eci.gov.in/ac/public/uploads2/candprofile/E32/2026/AC/s25/KEYAB-2026-20260409091040.jpg</t>
  </si>
  <si>
    <t>BISWAJIT KHANRA</t>
  </si>
  <si>
    <t>https://suvidha.eci.gov.in/ac/public/uploads2/candprofile/E32/2026/AC/s25/BISWA-2026-20260410120531.jpg</t>
  </si>
  <si>
    <t>SANJAY KARMAKAR</t>
  </si>
  <si>
    <t>https://suvidha.eci.gov.in/ac/public/uploads2/candprofile/E32/2026/AC/s25/SANJA-2026-20260408033556.jpg</t>
  </si>
  <si>
    <t>ANISUR RAHAMAN</t>
  </si>
  <si>
    <t>https://suvidha.eci.gov.in/ac/public/uploads2/candprofile/E32/2026/AC/s25/ANISU-2026-20260409070812.jpg</t>
  </si>
  <si>
    <t>RAFIKUL ISLAM</t>
  </si>
  <si>
    <t>https://suvidha.eci.gov.in/ac/public/uploads2/candprofile/E32/2026/AC/s25/RAFIK-2026-20260409011810.jpg</t>
  </si>
  <si>
    <t>RAGHUNATH DAS</t>
  </si>
  <si>
    <t>https://suvidha.eci.gov.in/ac/public/uploads2/candprofile/E32/2026/AC/s25/RAGHU-2026-20260409014104.jpg</t>
  </si>
  <si>
    <t>SANDIP BHATTACHARYYA</t>
  </si>
  <si>
    <t>https://suvidha.eci.gov.in/ac/public/uploads2/candprofile/E32/2026/AC/s25/SANDI-2026-20260409071200.jpg</t>
  </si>
  <si>
    <t>CHHAYA GHOSH</t>
  </si>
  <si>
    <t>https://suvidha.eci.gov.in/ac/public/uploads2/candprofile/E32/2026/AC/S25/CHHAY-2026-20260410115618.jpg</t>
  </si>
  <si>
    <t>SK SARIFUL BASAR</t>
  </si>
  <si>
    <t>https://suvidha.eci.gov.in/ac/public/uploads2/candprofile/E32/2026/AC/s25/SKSAR-2026-20260408070108.jpg</t>
  </si>
  <si>
    <t>https://suvidha.eci.gov.in/ac/public/uploads2/candprofile/E32/2026/AC/s25/BAPAN-2026-20260409015927.jpg</t>
  </si>
  <si>
    <t>BIKASH CHANDRA DOLUI</t>
  </si>
  <si>
    <t>https://suvidha.eci.gov.in/ac/public/uploads2/candprofile/E32/2026/AC/S25/BIKAS-2026-20260410062325.jpg</t>
  </si>
  <si>
    <t>REBATI MANDAL MRIDHA</t>
  </si>
  <si>
    <t>https://suvidha.eci.gov.in/ac/public/uploads2/candprofile/E32/2026/AC/s25/REBAT-2026-20260408070459.jpg</t>
  </si>
  <si>
    <t>LAKSHMI PRASAD</t>
  </si>
  <si>
    <t>https://suvidha.eci.gov.in/ac/public/uploads2/candprofile/E32/2026/AC/s25/LAKSH-2026-20260409071355.jpg</t>
  </si>
  <si>
    <t>GOBINDA PODDER</t>
  </si>
  <si>
    <t>https://suvidha.eci.gov.in/ac/public/uploads2/candprofile/E32/2026/AC/s25/GOBIN-2026-20260409021124.jpg</t>
  </si>
  <si>
    <t>PANNALAL HALDER</t>
  </si>
  <si>
    <t>https://suvidha.eci.gov.in/ac/public/uploads2/candprofile/E32/2026/AC/s25/PANNA-2026-20260409071451.jpg</t>
  </si>
  <si>
    <t>MEHBOOB ALAM</t>
  </si>
  <si>
    <t>https://suvidha.eci.gov.in/ac/public/uploads2/candprofile/E32/2026/AC/s25/MEHBO-2026-20260409092418.jpg</t>
  </si>
  <si>
    <t>MADHUSRI GHOSH</t>
  </si>
  <si>
    <t>https://suvidha.eci.gov.in/ac/public/uploads2/candprofile/E32/2026/AC/s25/MADHU-2026-20260409092424.jpg</t>
  </si>
  <si>
    <t>TAPAS SARDAR</t>
  </si>
  <si>
    <t>https://suvidha.eci.gov.in/ac/public/uploads2/candprofile/E32/2026/AC/s25/TAPAS-2026-20260409023504.jpg</t>
  </si>
  <si>
    <t>CHAINA BISWAS BALA</t>
  </si>
  <si>
    <t>https://suvidha.eci.gov.in/ac/public/uploads2/candprofile/E32/2026/AC/s25/CHAIN-2026-20260409071517.jpg</t>
  </si>
  <si>
    <t>JAYDEB HALDER S/O - SANATAN HALDER</t>
  </si>
  <si>
    <t>https://suvidha.eci.gov.in/ac/public/uploads2/candprofile/E32/2026/AC/s25/JAYDE-2026-20260408043144.jpg</t>
  </si>
  <si>
    <t>HARIDAS DEY</t>
  </si>
  <si>
    <t>https://suvidha.eci.gov.in/ac/public/uploads2/candprofile/E32/2026/AC/s25/HARID-2026-20260409031353.jpg</t>
  </si>
  <si>
    <t>AMIT DUTTA</t>
  </si>
  <si>
    <t>https://suvidha.eci.gov.in/ac/public/uploads2/candprofile/E32/2026/AC/s25/AMITD-2026-20260409032642.jpg</t>
  </si>
  <si>
    <t>PRATAP GOSWAMI</t>
  </si>
  <si>
    <t>https://suvidha.eci.gov.in/ac/public/uploads2/candprofile/E32/2026/AC/s25/PRATA-2026-20260409034234.jpg</t>
  </si>
  <si>
    <t>DIPAK HALDAR</t>
  </si>
  <si>
    <t>https://suvidha.eci.gov.in/ac/public/uploads2/candprofile/E32/2026/AC/s25/DIPAK-2026-20260409035601.jpg</t>
  </si>
  <si>
    <t>SHYAMAL DAS</t>
  </si>
  <si>
    <t>https://suvidha.eci.gov.in/ac/public/uploads2/candprofile/E32/2026/AC/s25/SHYAM-2026-20260409093232.jpg</t>
  </si>
  <si>
    <t>SUPRAKASH MANDAL</t>
  </si>
  <si>
    <t>https://suvidha.eci.gov.in/ac/public/uploads2/candprofile/E32/2026/AC/s25/SUPRA-2026-20260409093351.jpg</t>
  </si>
  <si>
    <t>BAPI BAGANI</t>
  </si>
  <si>
    <t>https://suvidha.eci.gov.in/ac/public/uploads2/candprofile/E32/2026/AC/s25/BAPIB-2026-20260409041352.jpg</t>
  </si>
  <si>
    <t>DULAL CHANDRA BAR</t>
  </si>
  <si>
    <t>https://suvidha.eci.gov.in/ac/public/uploads2/candprofile/E32/2026/AC/S25/DULAL-2026-20260407045017.jpg</t>
  </si>
  <si>
    <t>MILAN PATRA</t>
  </si>
  <si>
    <t>https://suvidha.eci.gov.in/ac/public/uploads2/candprofile/E32/2026/AC/S25/MILAN-2026-20260408052643.jpg</t>
  </si>
  <si>
    <t>ABDUL HANNAN SARDAR</t>
  </si>
  <si>
    <t>https://suvidha.eci.gov.in/ac/public/uploads2/candprofile/E32/2026/AC/s25/ABDUL-2026-20260409042120.jpg</t>
  </si>
  <si>
    <t>ABDUR ROUF</t>
  </si>
  <si>
    <t>https://suvidha.eci.gov.in/ac/public/uploads2/candprofile/E32/2026/AC/S25/ABDUR-2026-20260414042042.jpg</t>
  </si>
  <si>
    <t>https://suvidha.eci.gov.in/ac/public/uploads2/candprofile/E32/2026/AC/s25/PAWAN-2026-20260409073332.jpg</t>
  </si>
  <si>
    <t>MURSED SEKH</t>
  </si>
  <si>
    <t>https://suvidha.eci.gov.in/ac/public/uploads2/candprofile/E32/2026/AC/s25/MURSE-2026-20260409044320.jpg</t>
  </si>
  <si>
    <t>PRIYANKA DAS</t>
  </si>
  <si>
    <t>https://suvidha.eci.gov.in/ac/public/uploads2/candprofile/E32/2026/AC/s25/PRIYA-2026-20260409045535.jpg</t>
  </si>
  <si>
    <t>BIPLAB TIKADAR</t>
  </si>
  <si>
    <t>https://suvidha.eci.gov.in/ac/public/uploads2/candprofile/E32/2026/AC/S25/BIPLA-2026-20260413035959.jpg</t>
  </si>
  <si>
    <t>SHUVADIP MANDAL</t>
  </si>
  <si>
    <t>https://suvidha.eci.gov.in/ac/public/uploads2/candprofile/E32/2026/AC/S25/SHUVA-2026-20260409070213.jpg</t>
  </si>
  <si>
    <t>ANINDA BANERJEE</t>
  </si>
  <si>
    <t>https://suvidha.eci.gov.in/ac/public/uploads2/candprofile/E32/2026/AC/s25/ANIND-2026-20260409051130.jpg</t>
  </si>
  <si>
    <t>SANJOY SAIKH</t>
  </si>
  <si>
    <t>https://suvidha.eci.gov.in/ac/public/uploads2/candprofile/E32/2026/AC/s25/SANJO-2026-20260409051424.jpg</t>
  </si>
  <si>
    <t>PRITAM DUTTA</t>
  </si>
  <si>
    <t>https://suvidha.eci.gov.in/ac/public/uploads2/candprofile/E32/2026/AC/S25/PRITA-2026-20260408052428.jpg</t>
  </si>
  <si>
    <t>GOUTAM HALDAR</t>
  </si>
  <si>
    <t>https://suvidha.eci.gov.in/ac/public/uploads2/candprofile/E32/2026/AC/s25/GOUTA-2026-20260408074027.jpg</t>
  </si>
  <si>
    <t>SANKAR NASKAR</t>
  </si>
  <si>
    <t>https://suvidha.eci.gov.in/ac/public/uploads2/candprofile/E32/2026/AC/s25/SANKA-2026-20260408051555.jpg</t>
  </si>
  <si>
    <t>BISHNUPADA BISWAS</t>
  </si>
  <si>
    <t>https://suvidha.eci.gov.in/ac/public/uploads2/candprofile/E32/2026/AC/s25/BISHN-2026-20260409074919.jpg</t>
  </si>
  <si>
    <t>TAPAS MANDAL        S/O-DIBAKAR MANDAL</t>
  </si>
  <si>
    <t>https://suvidha.eci.gov.in/ac/public/uploads2/candprofile/E32/2026/AC/s25/TAPAS-2026-20260409095429.jpg</t>
  </si>
  <si>
    <t>UDAY DAS</t>
  </si>
  <si>
    <t>https://suvidha.eci.gov.in/ac/public/uploads2/candprofile/E32/2026/AC/s25/UDAYD-2026-20260408074317.jpg</t>
  </si>
  <si>
    <t>AHMED ALI MOLLA</t>
  </si>
  <si>
    <t>https://suvidha.eci.gov.in/ac/public/uploads2/candprofile/E32/2026/AC/s25/AHMED-2026-20260409075012.jpg</t>
  </si>
  <si>
    <t>MONORANJAN POLLEY</t>
  </si>
  <si>
    <t>https://suvidha.eci.gov.in/ac/public/uploads2/candprofile/E32/2026/AC/s25/MONOR-2026-20260409075119.jpg</t>
  </si>
  <si>
    <t>https://suvidha.eci.gov.in/ac/public/uploads2/candprofile/E32/2026/AC/s25/SEKHI-2026-20260409075121.jpg</t>
  </si>
  <si>
    <t>SHUBHANKAR RUDRA</t>
  </si>
  <si>
    <t>https://suvidha.eci.gov.in/ac/public/uploads2/candprofile/E32/2026/AC/s25/SHUBH-2026-20260409052935.jpg</t>
  </si>
  <si>
    <t>BULA ADHIKARY</t>
  </si>
  <si>
    <t>https://suvidha.eci.gov.in/ac/public/uploads2/candprofile/E32/2026/AC/S25/BULAA-2026-20260409075622.jpg</t>
  </si>
  <si>
    <t>PREM BANSFORE</t>
  </si>
  <si>
    <t>https://suvidha.eci.gov.in/ac/public/uploads2/candprofile/E32/2026/AC/S25/PREMB-2026-20260409085600.jpg</t>
  </si>
  <si>
    <t>BIJOY KRISNA SARDAR</t>
  </si>
  <si>
    <t>https://suvidha.eci.gov.in/ac/public/uploads2/candprofile/E32/2026/AC/s25/BIJOY-2026-20260409100109.jpg</t>
  </si>
  <si>
    <t>https://suvidha.eci.gov.in/ac/public/uploads2/candprofile/E32/2026/AC/s25/SUBHA-2026-20260409100150.jpg</t>
  </si>
  <si>
    <t>https://suvidha.eci.gov.in/ac/public/uploads2/candprofile/E32/2026/AC/s25/KRISH-2026-20260408074812.jpg</t>
  </si>
  <si>
    <t>BHOLANATH PATRA</t>
  </si>
  <si>
    <t>https://suvidha.eci.gov.in/ac/public/uploads2/candprofile/E32/2026/AC/s25/BHOLA-2026-20260408052505.jpg</t>
  </si>
  <si>
    <t>https://suvidha.eci.gov.in/ac/public/uploads2/candprofile/E32/2026/AC/s25/ARIND-2026-20260409080022.jpg</t>
  </si>
  <si>
    <t>UTTAM KUMAR MONDAL</t>
  </si>
  <si>
    <t>https://suvidha.eci.gov.in/ac/public/uploads2/candprofile/E32/2026/AC/s25/UTTAM-2026-20260409080119.jpg</t>
  </si>
  <si>
    <t>MIHIR NEBU</t>
  </si>
  <si>
    <t>https://suvidha.eci.gov.in/ac/public/uploads2/candprofile/E32/2026/AC/s25/MIHIR-2026-20260408052935.jpg</t>
  </si>
  <si>
    <t>Praloy Mukherjee</t>
  </si>
  <si>
    <t>https://suvidha.eci.gov.in/ac/public/uploads2/candprofile/E32/2026/AC/s25/Pralo-2026-20260408075658.jpg</t>
  </si>
  <si>
    <t>SATYABRATA BANDYOPADHYAY</t>
  </si>
  <si>
    <t>https://suvidha.eci.gov.in/ac/public/uploads2/candprofile/E32/2026/AC/s25/SATYA-2026-20260408080101.jpg</t>
  </si>
  <si>
    <t>https://suvidha.eci.gov.in/ac/public/uploads2/candprofile/E32/2026/AC/s25/DILIP-2026-20260408080505.jpg</t>
  </si>
  <si>
    <t>APU MALLICK</t>
  </si>
  <si>
    <t>https://suvidha.eci.gov.in/ac/public/uploads2/candprofile/E32/2026/AC/S25/APUMA-2026-20260407051315.jpg</t>
  </si>
  <si>
    <t>SAYANTAN PATRA</t>
  </si>
  <si>
    <t>https://suvidha.eci.gov.in/ac/public/uploads2/candprofile/E32/2026/AC/S25/SAYAN-2026-20260408055310.jpg</t>
  </si>
  <si>
    <t>https://suvidha.eci.gov.in/ac/public/uploads2/candprofile/E32/2026/AC/s25/DEBDA-2026-20260406060018.jpg</t>
  </si>
  <si>
    <t>TARUN KUMAR TIWARI</t>
  </si>
  <si>
    <t>https://suvidha.eci.gov.in/ac/public/uploads2/candprofile/E32/2026/AC/S25/TARUN-2026-20260408060323.jpg</t>
  </si>
  <si>
    <t>MANOHAR DENRA</t>
  </si>
  <si>
    <t>https://suvidha.eci.gov.in/ac/public/uploads2/candprofile/E32/2026/AC/S25/MANOH-2026-20260408082553.jpg</t>
  </si>
  <si>
    <t>KALYANBRATA MAJUMDAR</t>
  </si>
  <si>
    <t>https://suvidha.eci.gov.in/ac/public/uploads2/candprofile/E32/2026/AC/s25/KALYA-2026-20260409082214.jpg</t>
  </si>
  <si>
    <t>SUBIR CHAKRABORTY</t>
  </si>
  <si>
    <t>https://suvidha.eci.gov.in/ac/public/uploads2/candprofile/E32/2026/AC/S25/SUBIR-2026-20260407052206.jpg</t>
  </si>
  <si>
    <t>MAHABBAT KHAN</t>
  </si>
  <si>
    <t>https://suvidha.eci.gov.in/ac/public/uploads2/candprofile/E32/2026/AC/s25/MAHAB-2026-20260407080354.jpg</t>
  </si>
  <si>
    <t>SK JAKIRE HOSSEN</t>
  </si>
  <si>
    <t>https://suvidha.eci.gov.in/ac/public/uploads2/candprofile/E32/2026/AC/s25/SKJAK-2026-20260409060649.jpg</t>
  </si>
  <si>
    <t>SUMANTA BHOWMICK</t>
  </si>
  <si>
    <t>https://suvidha.eci.gov.in/ac/public/uploads2/candprofile/E32/2026/AC/S25/SUMAN-2026-20260410052950.jpg</t>
  </si>
  <si>
    <t>MRIDUL OJHA</t>
  </si>
  <si>
    <t>https://suvidha.eci.gov.in/ac/public/uploads2/candprofile/E32/2026/AC/s25/MRIDU-2026-20260408082823.jpg</t>
  </si>
  <si>
    <t>ALIM HOSSAIN MONDAL</t>
  </si>
  <si>
    <t>https://suvidha.eci.gov.in/ac/public/uploads2/candprofile/E32/2026/AC/s25/ALIMH-2026-20260409060953.jpg</t>
  </si>
  <si>
    <t>FAYJUDDIN LASKAR</t>
  </si>
  <si>
    <t>https://suvidha.eci.gov.in/ac/public/uploads2/candprofile/E32/2026/AC/S25/FAYJU-2026-20260410021801.jpg</t>
  </si>
  <si>
    <t>https://suvidha.eci.gov.in/ac/public/uploads2/candprofile/E32/2026/AC/s25/NARAY-2026-20260404053038.jpg</t>
  </si>
  <si>
    <t>ASHIT DHALI</t>
  </si>
  <si>
    <t>https://suvidha.eci.gov.in/ac/public/uploads2/candprofile/E32/2026/AC/s25/ASHIT-2026-20260409083325.jpg</t>
  </si>
  <si>
    <t>LAL MOHAMMAD</t>
  </si>
  <si>
    <t>https://suvidha.eci.gov.in/ac/public/uploads2/candprofile/E32/2026/AC/s25/LALMO-2026-20260409083348.jpg</t>
  </si>
  <si>
    <t>https://suvidha.eci.gov.in/ac/public/uploads2/candprofile/E32/2026/AC/s25/SAJAL-2026-20260408083742.jpg</t>
  </si>
  <si>
    <t>SANDIP DUTTA BHOWMICK</t>
  </si>
  <si>
    <t>https://suvidha.eci.gov.in/ac/public/uploads2/candprofile/E32/2026/AC/s25/SANDI-2026-20260408084251.jpg</t>
  </si>
  <si>
    <t>RICKY PAUL</t>
  </si>
  <si>
    <t>https://suvidha.eci.gov.in/ac/public/uploads2/candprofile/E32/2026/AC/s25/RICKY-2026-20260409105355.jpg</t>
  </si>
  <si>
    <t>ARIJIT NANDY</t>
  </si>
  <si>
    <t>https://suvidha.eci.gov.in/ac/public/uploads2/candprofile/E32/2026/AC/s25/ARIJI-2026-20260407053041.jpg</t>
  </si>
  <si>
    <t>SAHANUR MONDAL</t>
  </si>
  <si>
    <t>https://suvidha.eci.gov.in/ac/public/uploads2/candprofile/E32/2026/AC/s25/SAHAN-2026-20260409084235.jpg</t>
  </si>
  <si>
    <t>PRADIP KUMAR MANDAL</t>
  </si>
  <si>
    <t>https://suvidha.eci.gov.in/ac/public/uploads2/candprofile/E32/2026/AC/s25/PRADI-2026-20260409062352.jpg</t>
  </si>
  <si>
    <t>SARKAR MANGAL</t>
  </si>
  <si>
    <t>https://suvidha.eci.gov.in/ac/public/uploads2/candprofile/E32/2026/AC/s25/MANGA-2026-20260407052158.jpg</t>
  </si>
  <si>
    <t>MOUMITA KIRTAN</t>
  </si>
  <si>
    <t>https://suvidha.eci.gov.in/ac/public/uploads2/candprofile/E32/2026/AC/S25/MOUMI-2026-20260409074850.jpg</t>
  </si>
  <si>
    <t>SWETAKETU NANDY</t>
  </si>
  <si>
    <t>https://suvidha.eci.gov.in/ac/public/uploads2/candprofile/E32/2026/AC/s25/SWETA-2026-20260409110344.jpg</t>
  </si>
  <si>
    <t>TAPAN MAITY</t>
  </si>
  <si>
    <t>https://suvidha.eci.gov.in/ac/public/uploads2/candprofile/E32/2026/AC/s25/TAPAN-2026-20260410035007.jpg</t>
  </si>
  <si>
    <t>BARNALI BISWAS</t>
  </si>
  <si>
    <t>https://suvidha.eci.gov.in/ac/public/uploads2/candprofile/E32/2026/AC/s25/BARNA-2026-20260409063253.jpg</t>
  </si>
  <si>
    <t>PAWAN KUMAR SHARMA</t>
  </si>
  <si>
    <t>https://suvidha.eci.gov.in/ac/public/uploads2/candprofile/E32/2026/AC/s25/PAWAN-2026-20260408085640.jpg</t>
  </si>
  <si>
    <t>RAJUDDIN</t>
  </si>
  <si>
    <t>https://suvidha.eci.gov.in/ac/public/uploads2/candprofile/E32/2026/AC/s25/RAJUD-2026-20260407054200.jpg</t>
  </si>
  <si>
    <t>SHUBHANKAR DAS</t>
  </si>
  <si>
    <t>https://suvidha.eci.gov.in/ac/public/uploads2/candprofile/E32/2026/AC/s25/SHUBH-2026-20260408090951.jpg</t>
  </si>
  <si>
    <t>SHEFALI BAIN</t>
  </si>
  <si>
    <t>https://suvidha.eci.gov.in/ac/public/uploads2/candprofile/E32/2026/AC/S25/SHEFA-2026-20260413035622.jpg</t>
  </si>
  <si>
    <t>PALASH SARDAR</t>
  </si>
  <si>
    <t>https://suvidha.eci.gov.in/ac/public/uploads2/candprofile/E32/2026/AC/s25/PALAS-2026-20260409090137.jpg</t>
  </si>
  <si>
    <t>RAJIB ROY</t>
  </si>
  <si>
    <t>https://suvidha.eci.gov.in/ac/public/uploads2/candprofile/E32/2026/AC/s25/RAJIB-2026-20260409113726.jpg</t>
  </si>
  <si>
    <t>DITI BHATTACHARJEE</t>
  </si>
  <si>
    <t>https://suvidha.eci.gov.in/ac/public/uploads2/candprofile/E32/2026/AC/s25/DITIB-2026-20260409090600.jpg</t>
  </si>
  <si>
    <t>ISHTIAQUE ANWAR</t>
  </si>
  <si>
    <t>https://suvidha.eci.gov.in/ac/public/uploads2/candprofile/E32/2026/AC/S25/ISHTI-2026-20260410013904.jpg</t>
  </si>
  <si>
    <t>PABITRA BISWAS</t>
  </si>
  <si>
    <t>https://suvidha.eci.gov.in/ac/public/uploads2/candprofile/E32/2026/AC/s25/PABIT-2026-20260409090726.jpg</t>
  </si>
  <si>
    <t>https://suvidha.eci.gov.in/ac/public/uploads2/candprofile/E32/2026/AC/s25/SUBRA-2026-20260409115604.jpg</t>
  </si>
  <si>
    <t>SAFAR SEKH</t>
  </si>
  <si>
    <t>https://suvidha.eci.gov.in/ac/public/uploads2/candprofile/E32/2026/AC/s25/SAFAR-2026-20260406071630.jpg</t>
  </si>
  <si>
    <t>IZAZ AHAMED</t>
  </si>
  <si>
    <t>https://suvidha.eci.gov.in/ac/public/uploads2/candprofile/E32/2026/AC/s25/IZAZA-2026-20260409070307.jpg</t>
  </si>
  <si>
    <t>https://suvidha.eci.gov.in/ac/public/uploads2/candprofile/E32/2026/AC/s25/BISWA-2026-20260408101735.jpg</t>
  </si>
  <si>
    <t>SUROJIT DAS</t>
  </si>
  <si>
    <t>https://suvidha.eci.gov.in/ac/public/uploads2/candprofile/E32/2026/AC/s25/SUROJ-2026-20260408034453.jpg</t>
  </si>
  <si>
    <t>SOURAV BISWAS</t>
  </si>
  <si>
    <t>https://suvidha.eci.gov.in/ac/public/uploads2/candprofile/E32/2026/AC/s25/SOURA-2026-20260409091435.jpg</t>
  </si>
  <si>
    <t>SANJOY MATABBAR</t>
  </si>
  <si>
    <t>https://suvidha.eci.gov.in/ac/public/uploads2/candprofile/E32/2026/AC/s25/SANJO-2026-20260410124849.jpg</t>
  </si>
  <si>
    <t>KRISHNASISH GANGOPADHYAY</t>
  </si>
  <si>
    <t>https://suvidha.eci.gov.in/ac/public/uploads2/candprofile/E32/2026/AC/s25/KRISH-2026-20260409092008.jpg</t>
  </si>
  <si>
    <t>BIJAY MAJUMDAR</t>
  </si>
  <si>
    <t>https://suvidha.eci.gov.in/ac/public/uploads2/candprofile/E32/2026/AC/s25/BIJAY-2026-20260409092137.jpg</t>
  </si>
  <si>
    <t>SUMIT GHOSH</t>
  </si>
  <si>
    <t>https://suvidha.eci.gov.in/ac/public/uploads2/candprofile/E32/2026/AC/s25/SUMIT-2026-20260407040535.jpg</t>
  </si>
  <si>
    <t>SHANKAR KHA</t>
  </si>
  <si>
    <t>https://suvidha.eci.gov.in/ac/public/uploads2/candprofile/E32/2026/AC/s25/SHANK-2026-20260409071442.jpg</t>
  </si>
  <si>
    <t>https://suvidha.eci.gov.in/ac/public/uploads2/candprofile/E32/2026/AC/s25/BISWA-2026-20260408071156.jpg</t>
  </si>
  <si>
    <t>MANIK BAGCHI</t>
  </si>
  <si>
    <t>https://suvidha.eci.gov.in/ac/public/uploads2/candprofile/E32/2026/AC/S25/MANIK-2026-20260407063152.jpg</t>
  </si>
  <si>
    <t>SANJIB DHARA</t>
  </si>
  <si>
    <t>https://suvidha.eci.gov.in/ac/public/uploads2/candprofile/E32/2026/AC/S25/SANJI-2026-20260409032142.jpg</t>
  </si>
  <si>
    <t>NISHU KURMI</t>
  </si>
  <si>
    <t>https://suvidha.eci.gov.in/ac/public/uploads2/candprofile/E32/2026/AC/s25/NISHU-2026-20260409093115.jpg</t>
  </si>
  <si>
    <t>BOMKESH GHOSH</t>
  </si>
  <si>
    <t>https://suvidha.eci.gov.in/ac/public/uploads2/candprofile/E32/2026/AC/s25/BOMKE-2026-20260409093412.jpg</t>
  </si>
  <si>
    <t>SANJIB KUMAR GHOSH</t>
  </si>
  <si>
    <t>https://suvidha.eci.gov.in/ac/public/uploads2/candprofile/E32/2026/AC/s25/SANJI-2026-20260409072541.jpg</t>
  </si>
  <si>
    <t>BANTI RAJAK</t>
  </si>
  <si>
    <t>https://suvidha.eci.gov.in/ac/public/uploads2/candprofile/E32/2026/AC/s25/BANTI-2026-20260409073000.jpg</t>
  </si>
  <si>
    <t>MALLIKA PAIK W/O - SUSHEN PAIK</t>
  </si>
  <si>
    <t>https://suvidha.eci.gov.in/ac/public/uploads2/candprofile/E32/2026/AC/s25/MALLI-2026-20260408045532.jpg</t>
  </si>
  <si>
    <t>SK MOJAFFAR</t>
  </si>
  <si>
    <t>https://suvidha.eci.gov.in/ac/public/uploads2/candprofile/E32/2026/AC/S25/SKMOJ-2026-20260409043544.jpg</t>
  </si>
  <si>
    <t>MILAN KUMAR MANDAL</t>
  </si>
  <si>
    <t>https://suvidha.eci.gov.in/ac/public/uploads2/candprofile/E32/2026/AC/s25/MILAN-2026-20260407064041.jpg</t>
  </si>
  <si>
    <t>https://suvidha.eci.gov.in/ac/public/uploads2/candprofile/E32/2026/AC/s25/SUBRA-2026-20260409073344.jpg</t>
  </si>
  <si>
    <t>SAMAR KUMAR BISWAS</t>
  </si>
  <si>
    <t>https://suvidha.eci.gov.in/ac/public/uploads2/candprofile/E32/2026/AC/s25/SAMAR-2026-20260408073255.jpg</t>
  </si>
  <si>
    <t>SHAMBHU SARDAR</t>
  </si>
  <si>
    <t>https://suvidha.eci.gov.in/ac/public/uploads2/candprofile/E32/2026/AC/s25/SHAMB-2026-20260409044907.jpg</t>
  </si>
  <si>
    <t>REEPA BHATTACHARJEE</t>
  </si>
  <si>
    <t>https://suvidha.eci.gov.in/ac/public/uploads2/candprofile/E32/2026/AC/S25/REEPA-2026-20260410044109.jpg</t>
  </si>
  <si>
    <t>SUBHANKAR HALDAR</t>
  </si>
  <si>
    <t>https://suvidha.eci.gov.in/ac/public/uploads2/candprofile/E32/2026/AC/s25/SUBHA-2026-20260408050903.jpg</t>
  </si>
  <si>
    <t>SUDHIR MONDAL</t>
  </si>
  <si>
    <t>https://suvidha.eci.gov.in/ac/public/uploads2/candprofile/E32/2026/AC/s25/SUDHI-2026-20260409045959.jpg</t>
  </si>
  <si>
    <t>BINAY SINGH</t>
  </si>
  <si>
    <t>https://suvidha.eci.gov.in/ac/public/uploads2/candprofile/E32/2026/AC/s25/BINAY-2026-20260409074423.jpg</t>
  </si>
  <si>
    <t>RAJESH THAKUR</t>
  </si>
  <si>
    <t>https://suvidha.eci.gov.in/ac/public/uploads2/candprofile/E32/2026/AC/s25/RAJES-2026-20260409074600.jpg</t>
  </si>
  <si>
    <t>PIJUSH MONDAL</t>
  </si>
  <si>
    <t>https://suvidha.eci.gov.in/ac/public/uploads2/candprofile/E32/2026/AC/s25/PIJUS-2026-20260407045401.jpg</t>
  </si>
  <si>
    <t>SUROJIT GHOSH</t>
  </si>
  <si>
    <t>https://suvidha.eci.gov.in/ac/public/uploads2/candprofile/E32/2026/AC/s25/SUROJ-2026-20260408074408.jpg</t>
  </si>
  <si>
    <t>RAJDWIP GHOSH</t>
  </si>
  <si>
    <t>https://suvidha.eci.gov.in/ac/public/uploads2/candprofile/E32/2026/AC/s25/RAJDW-2026-20260409053221.jpg</t>
  </si>
  <si>
    <t>SRIKUMAR NASKAR</t>
  </si>
  <si>
    <t>https://suvidha.eci.gov.in/ac/public/uploads2/candprofile/E32/2026/AC/s25/SRIKU-2026-20260406074812.jpg</t>
  </si>
  <si>
    <t>PARTHA PULAY</t>
  </si>
  <si>
    <t>https://suvidha.eci.gov.in/ac/public/uploads2/candprofile/E32/2026/AC/s25/PARTH-2026-20260408074738.jpg</t>
  </si>
  <si>
    <t>KAMAL KRISHNA MALIK</t>
  </si>
  <si>
    <t>https://suvidha.eci.gov.in/ac/public/uploads2/candprofile/E32/2026/AC/s25/KAMAL-2026-20260409053742.jpg</t>
  </si>
  <si>
    <t>PREMCHAND MISHRA</t>
  </si>
  <si>
    <t>https://suvidha.eci.gov.in/ac/public/uploads2/candprofile/E32/2026/AC/S25/PREMC-2026-20260409085622.jpg</t>
  </si>
  <si>
    <t>MD. MOMTAZ ALAM</t>
  </si>
  <si>
    <t>https://suvidha.eci.gov.in/ac/public/uploads2/candprofile/E32/2026/AC/s25/MDMO-2026-20260409100326.jpg</t>
  </si>
  <si>
    <t>MD. JAHANGIR ALI</t>
  </si>
  <si>
    <t>https://suvidha.eci.gov.in/ac/public/uploads2/candprofile/E32/2026/AC/S25/MDJAH-2026-20260409093051.jpg</t>
  </si>
  <si>
    <t>SAUMAJYOTI MUKHERJEE</t>
  </si>
  <si>
    <t>https://suvidha.eci.gov.in/ac/public/uploads2/candprofile/E32/2026/AC/s25/SAUMY-2026-20260409100743.jpg</t>
  </si>
  <si>
    <t>RIMA MONDAL</t>
  </si>
  <si>
    <t>https://suvidha.eci.gov.in/ac/public/uploads2/candprofile/E32/2026/AC/S25/RIMAM-2026-20260410120211.jpg</t>
  </si>
  <si>
    <t>SOMNATH SAIN</t>
  </si>
  <si>
    <t>https://suvidha.eci.gov.in/ac/public/uploads2/candprofile/E32/2026/AC/s25/SOMNA-2026-20260409054450.jpg</t>
  </si>
  <si>
    <t>SK JULFIKAR ALI</t>
  </si>
  <si>
    <t>https://suvidha.eci.gov.in/ac/public/uploads2/candprofile/E32/2026/AC/S25/SKJUL-2026-20260410032356.jpg</t>
  </si>
  <si>
    <t>HUMAYUN SHAH</t>
  </si>
  <si>
    <t>https://suvidha.eci.gov.in/ac/public/uploads2/candprofile/E32/2026/AC/s25/HUMAY-2026-20260408080037.jpg</t>
  </si>
  <si>
    <t>KUNDAN KR. SHAW</t>
  </si>
  <si>
    <t>https://suvidha.eci.gov.in/ac/public/uploads2/candprofile/E32/2026/AC/S25/KUNDA-2026-20260411083515.jpg</t>
  </si>
  <si>
    <t>KAMALUDDIN MOLLA</t>
  </si>
  <si>
    <t>https://suvidha.eci.gov.in/ac/public/uploads2/candprofile/E32/2026/AC/s25/KAMAL-2026-20260407072055.jpg</t>
  </si>
  <si>
    <t>ALI ARSHAF</t>
  </si>
  <si>
    <t>https://suvidha.eci.gov.in/ac/public/uploads2/candprofile/E32/2026/AC/s25/ALIAR-2026-20260409055244.jpg</t>
  </si>
  <si>
    <t>SUMAN SARKAR</t>
  </si>
  <si>
    <t>https://suvidha.eci.gov.in/ac/public/uploads2/candprofile/E32/2026/AC/s25/SUMAN-2026-20260408081349.jpg</t>
  </si>
  <si>
    <t>SURAJIT MONDAL</t>
  </si>
  <si>
    <t>https://suvidha.eci.gov.in/ac/public/uploads2/candprofile/E32/2026/AC/s25/SURAJ-2026-20260409101815.jpg</t>
  </si>
  <si>
    <t>SONALI SAHA</t>
  </si>
  <si>
    <t>https://suvidha.eci.gov.in/ac/public/uploads2/candprofile/E32/2026/AC/s25/SONAL-2026-20260409101846.jpg</t>
  </si>
  <si>
    <t>TEJASH BOLE</t>
  </si>
  <si>
    <t>https://suvidha.eci.gov.in/ac/public/uploads2/candprofile/E32/2026/AC/S25/TEJAS-2026-20260408055211.jpg</t>
  </si>
  <si>
    <t>BIVASH DAS</t>
  </si>
  <si>
    <t>https://suvidha.eci.gov.in/ac/public/uploads2/candprofile/E32/2026/AC/s25/BIVAS-2026-20260406081346.jpg</t>
  </si>
  <si>
    <t>LAHABUDDIN KHAN</t>
  </si>
  <si>
    <t>https://suvidha.eci.gov.in/ac/public/uploads2/candprofile/E32/2026/AC/s25/LAHAB-2026-20260407051931.jpg</t>
  </si>
  <si>
    <t>PRADEEP KUMAR SARAFF</t>
  </si>
  <si>
    <t>https://suvidha.eci.gov.in/ac/public/uploads2/candprofile/E32/2026/AC/S25/PRADE-2026-20260408083612.jpg</t>
  </si>
  <si>
    <t>PALASH DUTTA</t>
  </si>
  <si>
    <t>https://suvidha.eci.gov.in/ac/public/uploads2/candprofile/E32/2026/AC/s25/PALAS-2026-20260409082644.jpg</t>
  </si>
  <si>
    <t>PARTHA PRATIM ROY</t>
  </si>
  <si>
    <t>https://suvidha.eci.gov.in/ac/public/uploads2/candprofile/E32/2026/AC/s25/PARTH-2026-20260409103416.jpg</t>
  </si>
  <si>
    <t>LALU NEYE</t>
  </si>
  <si>
    <t>https://suvidha.eci.gov.in/ac/public/uploads2/candprofile/E32/2026/AC/s25/LALUN-2026-20260408055804.jpg</t>
  </si>
  <si>
    <t>SHYAMAL GUHA</t>
  </si>
  <si>
    <t>https://suvidha.eci.gov.in/ac/public/uploads2/candprofile/E32/2026/AC/s25/SHYAM-2026-20260409104130.jpg</t>
  </si>
  <si>
    <t>MALLIKA MONDAL</t>
  </si>
  <si>
    <t>https://suvidha.eci.gov.in/ac/public/uploads2/candprofile/E32/2026/AC/S25/MALLI-2026-20260409110932.jpg</t>
  </si>
  <si>
    <t>RAJESH KUMAR SINGH</t>
  </si>
  <si>
    <t>https://suvidha.eci.gov.in/ac/public/uploads2/candprofile/E32/2026/AC/s25/RAJES-2026-20260408060036.jpg</t>
  </si>
  <si>
    <t>SAMIR BHATTACHARYA</t>
  </si>
  <si>
    <t>https://suvidha.eci.gov.in/ac/public/uploads2/candprofile/E32/2026/AC/s25/SAMIR-2026-20260406041500.jpg</t>
  </si>
  <si>
    <t>NIRMAL KUMAR DHARA</t>
  </si>
  <si>
    <t>https://suvidha.eci.gov.in/ac/public/uploads2/candprofile/E32/2026/AC/S25/NIRMA-2026-20260408084206.jpg</t>
  </si>
  <si>
    <t>NARAYAN  MANDAL</t>
  </si>
  <si>
    <t>https://suvidha.eci.gov.in/ac/public/uploads2/candprofile/E32/2026/AC/s25/NARAY-2026-20260409084313.jpg</t>
  </si>
  <si>
    <t>OM PRAKASH RAM</t>
  </si>
  <si>
    <t>https://suvidha.eci.gov.in/ac/public/uploads2/candprofile/E32/2026/AC/s25/OMPRA-2026-20260409105605.jpg</t>
  </si>
  <si>
    <t>SK HASIBUL RAHAMAN</t>
  </si>
  <si>
    <t>https://suvidha.eci.gov.in/ac/public/uploads2/candprofile/E32/2026/AC/s25/SKHAS-2026-20260409062640.jpg</t>
  </si>
  <si>
    <t>MOFIZUL MONDAL</t>
  </si>
  <si>
    <t>https://suvidha.eci.gov.in/ac/public/uploads2/candprofile/E32/2026/AC/s25/MOFIZ-2026-20260408061043.jpg</t>
  </si>
  <si>
    <t>QUTUBUDDIN AHMED</t>
  </si>
  <si>
    <t>https://suvidha.eci.gov.in/ac/public/uploads2/candprofile/E32/2026/AC/S25/QUTUB-2026-20260408011610.jpg</t>
  </si>
  <si>
    <t>NIHAR ROY</t>
  </si>
  <si>
    <t>https://suvidha.eci.gov.in/ac/public/uploads2/candprofile/E32/2026/AC/s25/NIHAR-2026-20260408085530.jpg</t>
  </si>
  <si>
    <t>TAPAS MONDAL</t>
  </si>
  <si>
    <t>https://suvidha.eci.gov.in/ac/public/uploads2/candprofile/E32/2026/AC/s25/TAPAS-2026-20260410035917.jpg</t>
  </si>
  <si>
    <t>SWAPAN ROY</t>
  </si>
  <si>
    <t>https://suvidha.eci.gov.in/ac/public/uploads2/candprofile/E32/2026/AC/s25/SWAPA-2026-20260409063624.jpg</t>
  </si>
  <si>
    <t>PINTU BAYEN</t>
  </si>
  <si>
    <t>https://suvidha.eci.gov.in/ac/public/uploads2/candprofile/E32/2026/AC/s25/PINTU-2026-20260409063846.jpg</t>
  </si>
  <si>
    <t>SNEHASIS SAHA</t>
  </si>
  <si>
    <t>https://suvidha.eci.gov.in/ac/public/uploads2/candprofile/E32/2026/AC/s25/SNEHA-2026-20260408124123.jpg</t>
  </si>
  <si>
    <t>SHAIK IMRAN</t>
  </si>
  <si>
    <t>https://suvidha.eci.gov.in/ac/public/uploads2/candprofile/E32/2026/AC/S25/SHAIK-2026-20260410044130.jpg</t>
  </si>
  <si>
    <t>SK  FARHAN AKTAB</t>
  </si>
  <si>
    <t>https://suvidha.eci.gov.in/ac/public/uploads2/candprofile/E32/2026/AC/s25/SKFAR-2026-20260409114428.jpg</t>
  </si>
  <si>
    <t>BHASWATI GANGOPADHYAY</t>
  </si>
  <si>
    <t>https://suvidha.eci.gov.in/ac/public/uploads2/candprofile/E32/2026/AC/s25/BHASW-2026-20260409090605.jpg</t>
  </si>
  <si>
    <t>SEKH MOJAPHAR ALI</t>
  </si>
  <si>
    <t>https://suvidha.eci.gov.in/ac/public/uploads2/candprofile/E32/2026/AC/s25/SEKHM-2026-20260408063248.jpg</t>
  </si>
  <si>
    <t>BAISAKHI MALIK</t>
  </si>
  <si>
    <t>https://suvidha.eci.gov.in/ac/public/uploads2/candprofile/E32/2026/AC/s25/BAISA-2026-20260408095533.jpg</t>
  </si>
  <si>
    <t>https://suvidha.eci.gov.in/ac/public/uploads2/candprofile/E32/2026/AC/S25/SWAPA-2026-20260413035906.jpg</t>
  </si>
  <si>
    <t>RATHIN SARKAR</t>
  </si>
  <si>
    <t>https://suvidha.eci.gov.in/ac/public/uploads2/candprofile/E32/2026/AC/s25/RATHI-2026-20260404054034.jpg</t>
  </si>
  <si>
    <t>HIRAK SINHA</t>
  </si>
  <si>
    <t>https://suvidha.eci.gov.in/ac/public/uploads2/candprofile/E32/2026/AC/s25/HIRAK-2026-20260409070305.jpg</t>
  </si>
  <si>
    <t>MANTU KAR</t>
  </si>
  <si>
    <t>https://suvidha.eci.gov.in/ac/public/uploads2/candprofile/E32/2026/AC/S25/MANTU-2026-20260411083308.jpg</t>
  </si>
  <si>
    <t>SUBRATA DE</t>
  </si>
  <si>
    <t>https://suvidha.eci.gov.in/ac/public/uploads2/candprofile/E32/2026/AC/s25/SUBRA-2026-20260408064348.jpg</t>
  </si>
  <si>
    <t>Surajit Majumdar</t>
  </si>
  <si>
    <t>https://suvidha.eci.gov.in/ac/public/uploads2/candprofile/E32/2026/AC/s25/Suraj-2026-20260410012217.jpg</t>
  </si>
  <si>
    <t>DEBABRATA DAS</t>
  </si>
  <si>
    <t>https://suvidha.eci.gov.in/ac/public/uploads2/candprofile/E32/2026/AC/S25/DEBAB-2026-20260404053112.jpg</t>
  </si>
  <si>
    <t>SISIR SAMANTA</t>
  </si>
  <si>
    <t>https://suvidha.eci.gov.in/ac/public/uploads2/candprofile/E32/2026/AC/s25/SISIR-2026-20260409020925.jpg</t>
  </si>
  <si>
    <t>SUBHASIS BISWAS</t>
  </si>
  <si>
    <t>https://suvidha.eci.gov.in/ac/public/uploads2/candprofile/E32/2026/AC/s25/SUBHA-2026-20260408042114.jpg</t>
  </si>
  <si>
    <t>MADHAB DAS</t>
  </si>
  <si>
    <t>https://suvidha.eci.gov.in/ac/public/uploads2/candprofile/E32/2026/AC/s25/MADHA-2026-20260409024322.jpg</t>
  </si>
  <si>
    <t>SUBRATA ADHIKARY</t>
  </si>
  <si>
    <t>https://suvidha.eci.gov.in/ac/public/uploads2/candprofile/E32/2026/AC/s25/SUBRA-2026-20260409030501.jpg</t>
  </si>
  <si>
    <t>PALASH HALDER</t>
  </si>
  <si>
    <t>https://suvidha.eci.gov.in/ac/public/uploads2/candprofile/E32/2026/AC/s25/PALAS-2026-20260409092931.jpg</t>
  </si>
  <si>
    <t>SANJU GHOSH</t>
  </si>
  <si>
    <t>https://suvidha.eci.gov.in/ac/public/uploads2/candprofile/E32/2026/AC/S25/SANJU-2026-20260409100601.jpg</t>
  </si>
  <si>
    <t>VIKASH KUMAR RAM</t>
  </si>
  <si>
    <t>https://suvidha.eci.gov.in/ac/public/uploads2/candprofile/E32/2026/AC/s25/VIKAS-2026-20260409034313.jpg</t>
  </si>
  <si>
    <t>SHARMISTHA DAS</t>
  </si>
  <si>
    <t>https://suvidha.eci.gov.in/ac/public/uploads2/candprofile/E32/2026/AC/s25/SHARM-2026-20260409072244.jpg</t>
  </si>
  <si>
    <t>ASADUL</t>
  </si>
  <si>
    <t>https://suvidha.eci.gov.in/ac/public/uploads2/candprofile/E32/2026/AC/S25/ASADU-2026-20260409041438.jpg</t>
  </si>
  <si>
    <t>RATHIN BARAI</t>
  </si>
  <si>
    <t>https://suvidha.eci.gov.in/ac/public/uploads2/candprofile/E32/2026/AC/s25/RATHI-2026-20260409072858.jpg</t>
  </si>
  <si>
    <t>BIDHAN CHANDRA MALIK</t>
  </si>
  <si>
    <t>https://suvidha.eci.gov.in/ac/public/uploads2/candprofile/E32/2026/AC/s25/BIDHA-2026-20260409042539.jpg</t>
  </si>
  <si>
    <t>SK SAFI AHAMED</t>
  </si>
  <si>
    <t>https://suvidha.eci.gov.in/ac/public/uploads2/candprofile/E32/2026/AC/s25/SKSAF-2026-20260406072442.jpg</t>
  </si>
  <si>
    <t>SHANKAR CHATTERJEE</t>
  </si>
  <si>
    <t>https://suvidha.eci.gov.in/ac/public/uploads2/candprofile/E32/2026/AC/S25/SHANK-2026-20260409104115.jpg</t>
  </si>
  <si>
    <t>KARIMUL MOLLA</t>
  </si>
  <si>
    <t>https://suvidha.eci.gov.in/ac/public/uploads2/candprofile/E32/2026/AC/s25/KARIM-2026-20260409073723.jpg</t>
  </si>
  <si>
    <t>SADHANA CHAKRABORTY</t>
  </si>
  <si>
    <t>https://suvidha.eci.gov.in/ac/public/uploads2/candprofile/E32/2026/AC/s25/SADHA-2026-20260409074158.jpg</t>
  </si>
  <si>
    <t>RUPALI SARKAR</t>
  </si>
  <si>
    <t>https://suvidha.eci.gov.in/ac/public/uploads2/candprofile/E32/2026/AC/s25/RUPAL-2026-20260409095034.jpg</t>
  </si>
  <si>
    <t>RUPAM MONDAL</t>
  </si>
  <si>
    <t>https://suvidha.eci.gov.in/ac/public/uploads2/candprofile/E32/2026/AC/s25/RUPAM-2026-20260408073822.jpg</t>
  </si>
  <si>
    <t>SOUMEN DAS</t>
  </si>
  <si>
    <t>https://suvidha.eci.gov.in/ac/public/uploads2/candprofile/E32/2026/AC/s25/SOUME-2026-20260409095327.jpg</t>
  </si>
  <si>
    <t>SAJAL KARMAKAR</t>
  </si>
  <si>
    <t>https://suvidha.eci.gov.in/ac/public/uploads2/candprofile/E32/2026/AC/S25/SAJAL-2026-20260409085642.jpg</t>
  </si>
  <si>
    <t>DEBASISH GHORUI</t>
  </si>
  <si>
    <t>https://suvidha.eci.gov.in/ac/public/uploads2/candprofile/E32/2026/AC/s25/DEBAS-2026-20260408053103.jpg</t>
  </si>
  <si>
    <t>SK MONIRUL ISLAM</t>
  </si>
  <si>
    <t>https://suvidha.eci.gov.in/ac/public/uploads2/candprofile/E32/2026/AC/s25/SKMON-2026-20260409080833.jpg</t>
  </si>
  <si>
    <t>SK MAHBUB</t>
  </si>
  <si>
    <t>https://suvidha.eci.gov.in/ac/public/uploads2/candprofile/E32/2026/AC/s25/SKMAH-2026-20260409055133.jpg</t>
  </si>
  <si>
    <t>BISWAJIT PRAMANIK</t>
  </si>
  <si>
    <t>https://suvidha.eci.gov.in/ac/public/uploads2/candprofile/E32/2026/AC/s25/BISWA-2026-20260409081052.jpg</t>
  </si>
  <si>
    <t>SOUVIK GHOSH</t>
  </si>
  <si>
    <t>https://suvidha.eci.gov.in/ac/public/uploads2/candprofile/E32/2026/AC/S25/SOUVI-2026-20260410021313.jpg</t>
  </si>
  <si>
    <t>SANJAY BAGARIA</t>
  </si>
  <si>
    <t>https://suvidha.eci.gov.in/ac/public/uploads2/candprofile/E32/2026/AC/S25/SANJA-2026-20260410120047.jpg</t>
  </si>
  <si>
    <t>RUPA BISWAS</t>
  </si>
  <si>
    <t>https://suvidha.eci.gov.in/ac/public/uploads2/candprofile/E32/2026/AC/s25/RUPAB-2026-20260409081317.jpg</t>
  </si>
  <si>
    <t>SHAFIQUE ALI</t>
  </si>
  <si>
    <t>https://suvidha.eci.gov.in/ac/public/uploads2/candprofile/E32/2026/AC/s25/SAFIQ-2026-20260409055558.jpg</t>
  </si>
  <si>
    <t>PRADYOT KUMAR SUR</t>
  </si>
  <si>
    <t>https://suvidha.eci.gov.in/ac/public/uploads2/candprofile/E32/2026/AC/s25/PRADY-2026-20260409102434.jpg</t>
  </si>
  <si>
    <t>S.MUKTAR AHAMED</t>
  </si>
  <si>
    <t>https://suvidha.eci.gov.in/ac/public/uploads2/candprofile/E32/2026/AC/s25/SMUK-2026-20260408054807.jpg</t>
  </si>
  <si>
    <t>RAJANYA HALDAR(SARA)</t>
  </si>
  <si>
    <t>https://suvidha.eci.gov.in/ac/public/uploads2/candprofile/E32/2026/AC/s25/RAJAN-2026-20260404055955.jpg</t>
  </si>
  <si>
    <t>PRITAM SINGH</t>
  </si>
  <si>
    <t>https://suvidha.eci.gov.in/ac/public/uploads2/candprofile/E32/2026/AC/S25/PRITA-2026-20260406054814.jpg</t>
  </si>
  <si>
    <t>NAOSAN MOLLA</t>
  </si>
  <si>
    <t>https://suvidha.eci.gov.in/ac/public/uploads2/candprofile/E32/2026/AC/s25/NAOSA-2026-20260409083633.jpg</t>
  </si>
  <si>
    <t>RAM KUMAR</t>
  </si>
  <si>
    <t>https://suvidha.eci.gov.in/ac/public/uploads2/candprofile/E32/2026/AC/S25/RAMKU-2026-20260411113423.jpg</t>
  </si>
  <si>
    <t>RAJIB SARKAR</t>
  </si>
  <si>
    <t>https://suvidha.eci.gov.in/ac/public/uploads2/candprofile/E32/2026/AC/S25/RAJIB-2026-20260413064715.jpg</t>
  </si>
  <si>
    <t>MASIDUL SAHAJI</t>
  </si>
  <si>
    <t>https://suvidha.eci.gov.in/ac/public/uploads2/candprofile/E32/2026/AC/s25/MASID-2026-20260408061927.jpg</t>
  </si>
  <si>
    <t>DIBYENDU GHOSH</t>
  </si>
  <si>
    <t>https://suvidha.eci.gov.in/ac/public/uploads2/candprofile/E32/2026/AC/s25/DIBYE-2026-20260408090451.jpg</t>
  </si>
  <si>
    <t>RATNA BAITHA</t>
  </si>
  <si>
    <t>https://suvidha.eci.gov.in/ac/public/uploads2/candprofile/E32/2026/AC/s25/RATNA-2026-20260408090451.jpg</t>
  </si>
  <si>
    <t>BEDORA BIBI</t>
  </si>
  <si>
    <t>https://suvidha.eci.gov.in/ac/public/uploads2/candprofile/E32/2026/AC/s25/BEDOR-2026-20260409065609.jpg</t>
  </si>
  <si>
    <t>SOUMEN MANNA</t>
  </si>
  <si>
    <t>https://suvidha.eci.gov.in/ac/public/uploads2/candprofile/E32/2026/AC/s25/SOUME-2026-20260408063705.jpg</t>
  </si>
  <si>
    <t>SUDIPTA CHANDA</t>
  </si>
  <si>
    <t>https://suvidha.eci.gov.in/ac/public/uploads2/candprofile/E32/2026/AC/S25/SUDIP-2026-20260409014306.jpg</t>
  </si>
  <si>
    <t>SUBHASHIS KAR</t>
  </si>
  <si>
    <t>https://suvidha.eci.gov.in/ac/public/uploads2/candprofile/E32/2026/AC/s25/SUBHA-2026-20260409070033.jpg</t>
  </si>
  <si>
    <t>SARASWATI MONDAL</t>
  </si>
  <si>
    <t>https://suvidha.eci.gov.in/ac/public/uploads2/candprofile/E32/2026/AC/s25/SARAS-2026-20260409070212.jpg</t>
  </si>
  <si>
    <t>MEGHNAD NASKAR</t>
  </si>
  <si>
    <t>https://suvidha.eci.gov.in/ac/public/uploads2/candprofile/E32/2026/AC/s25/MEGHN-2026-20260409091428.jpg</t>
  </si>
  <si>
    <t>MADAN CHANDRA GHOSH</t>
  </si>
  <si>
    <t>https://suvidha.eci.gov.in/ac/public/uploads2/candprofile/E32/2026/AC/s25/MADAN-2026-20260409091438.jpg</t>
  </si>
  <si>
    <t>https://suvidha.eci.gov.in/ac/public/uploads2/candprofile/E32/2026/AC/s25/UTTAM-2026-20260409091445.jpg</t>
  </si>
  <si>
    <t>UMA GOSWAMI</t>
  </si>
  <si>
    <t>https://suvidha.eci.gov.in/ac/public/uploads2/candprofile/E32/2026/AC/S25/UMAGO-2026-20260410120239.jpg</t>
  </si>
  <si>
    <t>SOUMYA CHATTOPADHYAY</t>
  </si>
  <si>
    <t>https://suvidha.eci.gov.in/ac/public/uploads2/candprofile/E32/2026/AC/s25/SOUMY-2026-20260404061551.jpg</t>
  </si>
  <si>
    <t>SUBRATA BOSE</t>
  </si>
  <si>
    <t>https://suvidha.eci.gov.in/ac/public/uploads2/candprofile/E32/2026/AC/s25/SUBRA-2026-20260406063916.jpg</t>
  </si>
  <si>
    <t>BABLU HALDAR</t>
  </si>
  <si>
    <t>https://suvidha.eci.gov.in/ac/public/uploads2/candprofile/E32/2026/AC/s25/BABLU-2026-20260408044611.jpg</t>
  </si>
  <si>
    <t>SUVAMAY PAN</t>
  </si>
  <si>
    <t>https://suvidha.eci.gov.in/ac/public/uploads2/candprofile/E32/2026/AC/s25/SUVAM-2026-20260409073444.jpg</t>
  </si>
  <si>
    <t>SWAPAN HALDAR</t>
  </si>
  <si>
    <t>https://suvidha.eci.gov.in/ac/public/uploads2/candprofile/E32/2026/AC/s25/SWAPA-2026-20260407043725.jpg</t>
  </si>
  <si>
    <t>SUBIR BISWAS</t>
  </si>
  <si>
    <t>https://suvidha.eci.gov.in/ac/public/uploads2/candprofile/E32/2026/AC/s25/SUBIR-2026-20260407064939.jpg</t>
  </si>
  <si>
    <t>SNEHASHISH SASHMOL</t>
  </si>
  <si>
    <t>https://suvidha.eci.gov.in/ac/public/uploads2/candprofile/E32/2026/AC/S25/SNEHA-2026-20260409052853.jpg</t>
  </si>
  <si>
    <t>SAMIR BACHAR</t>
  </si>
  <si>
    <t>https://suvidha.eci.gov.in/ac/public/uploads2/candprofile/E32/2026/AC/s25/SAMIR-2026-20260409095004.jpg</t>
  </si>
  <si>
    <t>https://suvidha.eci.gov.in/ac/public/uploads2/candprofile/E32/2026/AC/s25/HEMAN-2026-20260408074350.jpg</t>
  </si>
  <si>
    <t>SARASWATI PATRA SARKAR</t>
  </si>
  <si>
    <t>https://suvidha.eci.gov.in/ac/public/uploads2/candprofile/E32/2026/AC/S25/SARAS-2026-20260409053348.jpg</t>
  </si>
  <si>
    <t>SAJJAT MIR</t>
  </si>
  <si>
    <t>https://suvidha.eci.gov.in/ac/public/uploads2/candprofile/E32/2026/AC/S25/SAJJA-2026-20260409080629.jpg</t>
  </si>
  <si>
    <t>PREM CHAND RAM</t>
  </si>
  <si>
    <t>https://suvidha.eci.gov.in/ac/public/uploads2/candprofile/E32/2026/AC/s25/PREMC-2026-20260408052637.jpg</t>
  </si>
  <si>
    <t>SUDHANSU SEKHAR BISWAS</t>
  </si>
  <si>
    <t>https://suvidha.eci.gov.in/ac/public/uploads2/candprofile/E32/2026/AC/s25/SUDHA-2026-20260408075322.jpg</t>
  </si>
  <si>
    <t>ALOK PAKHIRA</t>
  </si>
  <si>
    <t>https://suvidha.eci.gov.in/ac/public/uploads2/candprofile/E32/2026/AC/s25/ALOKP-2026-20260409100347.jpg</t>
  </si>
  <si>
    <t>SUBHAM MAJUMDAR</t>
  </si>
  <si>
    <t>https://suvidha.eci.gov.in/ac/public/uploads2/candprofile/E32/2026/AC/s25/SUBHA-2026-20260408052954.jpg</t>
  </si>
  <si>
    <t>RENU PRASAD</t>
  </si>
  <si>
    <t>https://suvidha.eci.gov.in/ac/public/uploads2/candprofile/E32/2026/AC/s25/RENUP-2026-20260409100754.jpg</t>
  </si>
  <si>
    <t>BISHAL KUMAR MANDAL</t>
  </si>
  <si>
    <t>https://suvidha.eci.gov.in/ac/public/uploads2/candprofile/E32/2026/AC/s25/BISHA-2026-20260409054609.jpg</t>
  </si>
  <si>
    <t>QAISAR KHAN</t>
  </si>
  <si>
    <t>https://suvidha.eci.gov.in/ac/public/uploads2/candprofile/E32/2026/AC/s25/QAISA-2026-20260408080555.jpg</t>
  </si>
  <si>
    <t>https://suvidha.eci.gov.in/ac/public/uploads2/candprofile/E32/2026/AC/s25/SANJI-2026-20260409081622.jpg</t>
  </si>
  <si>
    <t>HARINAARAYAN CHOWDHARY</t>
  </si>
  <si>
    <t>https://suvidha.eci.gov.in/ac/public/uploads2/candprofile/E32/2026/AC/s25/HARIN-2026-20260409082936.jpg</t>
  </si>
  <si>
    <t>RUPA MONDAL</t>
  </si>
  <si>
    <t>https://suvidha.eci.gov.in/ac/public/uploads2/candprofile/E32/2026/AC/s25/RUPAM-2026-20260406062507.jpg</t>
  </si>
  <si>
    <t>LAKSHMIKANTA NASKAR</t>
  </si>
  <si>
    <t>https://suvidha.eci.gov.in/ac/public/uploads2/candprofile/E32/2026/AC/s25/LAKSH-2026-20260408084128.jpg</t>
  </si>
  <si>
    <t>SUTAPA DAS</t>
  </si>
  <si>
    <t>https://suvidha.eci.gov.in/ac/public/uploads2/candprofile/E32/2026/AC/s25/SUTAP-2026-20260408084318.jpg</t>
  </si>
  <si>
    <t>RAFIK BAIDYA</t>
  </si>
  <si>
    <t>https://suvidha.eci.gov.in/ac/public/uploads2/candprofile/E32/2026/AC/s25/RAFIK-2026-20260409084427.jpg</t>
  </si>
  <si>
    <t>SUBHASISH HALDER</t>
  </si>
  <si>
    <t>https://suvidha.eci.gov.in/ac/public/uploads2/candprofile/E32/2026/AC/s25/SUBHA-2026-20260406054158.jpg</t>
  </si>
  <si>
    <t>SOUPTIK MONDAL</t>
  </si>
  <si>
    <t>https://suvidha.eci.gov.in/ac/public/uploads2/candprofile/E32/2026/AC/S25/SOUPT-2026-20260408011514.jpg</t>
  </si>
  <si>
    <t>SARIFUL MOLLA</t>
  </si>
  <si>
    <t>https://suvidha.eci.gov.in/ac/public/uploads2/candprofile/E32/2026/AC/s25/SARIF-2026-20260407053603.jpg</t>
  </si>
  <si>
    <t>SWAPAN CHAKRABORTY</t>
  </si>
  <si>
    <t>https://suvidha.eci.gov.in/ac/public/uploads2/candprofile/E32/2026/AC/s25/SWAPA-2026-20260407113228.jpg</t>
  </si>
  <si>
    <t>SUJAN SARDAR</t>
  </si>
  <si>
    <t>https://suvidha.eci.gov.in/ac/public/uploads2/candprofile/E32/2026/AC/s25/SUJAN-2026-20260409085305.jpg</t>
  </si>
  <si>
    <t>SURAJIT GUPTA</t>
  </si>
  <si>
    <t>https://suvidha.eci.gov.in/ac/public/uploads2/candprofile/E32/2026/AC/s25/SURAJ-2026-20260408090036.jpg</t>
  </si>
  <si>
    <t>SANJAY DEY</t>
  </si>
  <si>
    <t>https://suvidha.eci.gov.in/ac/public/uploads2/candprofile/E32/2026/AC/s25/SANJA-2026-20260409112153.jpg</t>
  </si>
  <si>
    <t>RASHID IQBAL</t>
  </si>
  <si>
    <t>https://suvidha.eci.gov.in/ac/public/uploads2/candprofile/E32/2026/AC/S25/RASHI-2026-20260410121855.jpg</t>
  </si>
  <si>
    <t>SK SAPIYAR ALI</t>
  </si>
  <si>
    <t>https://suvidha.eci.gov.in/ac/public/uploads2/candprofile/E32/2026/AC/s25/SAPIY-2026-20260408100640.jpg</t>
  </si>
  <si>
    <t>SANTANU SARKAR</t>
  </si>
  <si>
    <t>https://suvidha.eci.gov.in/ac/public/uploads2/candprofile/E32/2026/AC/s25/SANTA-2026-20260408102016.jpg</t>
  </si>
  <si>
    <t>SATTAR ALI</t>
  </si>
  <si>
    <t>https://suvidha.eci.gov.in/ac/public/uploads2/candprofile/E32/2026/AC/s25/SATTA-2026-20260409071133.jpg</t>
  </si>
  <si>
    <t>MAQSUD HASAN</t>
  </si>
  <si>
    <t>https://suvidha.eci.gov.in/ac/public/uploads2/candprofile/E32/2026/AC/s25/MAQSU-2026-20260407034649.jpg</t>
  </si>
  <si>
    <t>SUBROTA ROY</t>
  </si>
  <si>
    <t>https://suvidha.eci.gov.in/ac/public/uploads2/candprofile/E32/2026/AC/S25/SUBRO-2026-20260409013736.jpg</t>
  </si>
  <si>
    <t>SOMENATH MITRA</t>
  </si>
  <si>
    <t>https://suvidha.eci.gov.in/ac/public/uploads2/candprofile/E32/2026/AC/s25/SOMEN-2026-20260409024916.jpg</t>
  </si>
  <si>
    <t>SUSHAMA MAITY MANNA</t>
  </si>
  <si>
    <t>https://suvidha.eci.gov.in/ac/public/uploads2/candprofile/E32/2026/AC/s25/SUSHA-2026-20260408043124.jpg</t>
  </si>
  <si>
    <t>https://suvidha.eci.gov.in/ac/public/uploads2/candprofile/E32/2026/AC/s25/SHARM-2026-20260409094805.jpg</t>
  </si>
  <si>
    <t>MAFIJUL ALI BISWAS</t>
  </si>
  <si>
    <t>https://suvidha.eci.gov.in/ac/public/uploads2/candprofile/E32/2026/AC/s25/MAFIJ-2026-20260407065743.jpg</t>
  </si>
  <si>
    <t>https://suvidha.eci.gov.in/ac/public/uploads2/candprofile/E32/2026/AC/s25/TAPAS-2026-20260409101143.jpg</t>
  </si>
  <si>
    <t>ABDUL QADIR KHAN</t>
  </si>
  <si>
    <t>https://suvidha.eci.gov.in/ac/public/uploads2/candprofile/E32/2026/AC/s25/ABDUL-2026-20260409101649.jpg</t>
  </si>
  <si>
    <t>INDRANATH DAS</t>
  </si>
  <si>
    <t>Independent Nationalist Front</t>
  </si>
  <si>
    <t>https://suvidha.eci.gov.in/ac/public/uploads2/candprofile/E32/2026/AC/s25/INDRA-2026-20260409102218.jpg</t>
  </si>
  <si>
    <t>SAMIM TARAFDER</t>
  </si>
  <si>
    <t>https://suvidha.eci.gov.in/ac/public/uploads2/candprofile/E32/2026/AC/s25/SAMIM-2026-20260408061523.jpg</t>
  </si>
  <si>
    <t>https://suvidha.eci.gov.in/ac/public/uploads2/candprofile/E32/2026/AC/s25/TAPAS-2026-20260408091205.jpg</t>
  </si>
  <si>
    <t>SUJAY MANDAL</t>
  </si>
  <si>
    <t>https://suvidha.eci.gov.in/ac/public/uploads2/candprofile/E32/2026/AC/s25/SUJAY-2026-20260408094223.jpg</t>
  </si>
  <si>
    <t>SUPRIYO DEY</t>
  </si>
  <si>
    <t>https://suvidha.eci.gov.in/ac/public/uploads2/candprofile/E32/2026/AC/s25/SUPRI-2026-20260409014609.jpg</t>
  </si>
  <si>
    <t>TOUSEEF AHMED KHAN</t>
  </si>
  <si>
    <t>https://suvidha.eci.gov.in/ac/public/uploads2/candprofile/E32/2026/AC/S25/TOUSE-2026-20260410122047.jpg</t>
  </si>
  <si>
    <t>RUMPA GANGULY</t>
  </si>
  <si>
    <t>https://suvidha.eci.gov.in/ac/public/uploads2/candprofile/E32/2026/AC/s25/RUMPA-2026-20260406061650.jpg</t>
  </si>
  <si>
    <t>MASADUL MOLLA</t>
  </si>
  <si>
    <t>https://suvidha.eci.gov.in/ac/public/uploads2/candprofile/E32/2026/AC/s25/MASAD-2026-20260409080741.jpg</t>
  </si>
  <si>
    <t>SWAPAN DAS</t>
  </si>
  <si>
    <t>https://suvidha.eci.gov.in/ac/public/uploads2/candprofile/E32/2026/AC/s25/SWAPA-2026-20260407072016.jpg</t>
  </si>
  <si>
    <t>SEKH SADIK HOSSAIN</t>
  </si>
  <si>
    <t>https://suvidha.eci.gov.in/ac/public/uploads2/candprofile/E32/2026/AC/s25/SEKHS-2026-20260409101938.jpg</t>
  </si>
  <si>
    <t>https://suvidha.eci.gov.in/ac/public/uploads2/candprofile/E32/2026/AC/s25/SUBRA-2026-20260408053818.jpg</t>
  </si>
  <si>
    <t>MIRJA HASAN</t>
  </si>
  <si>
    <t>https://suvidha.eci.gov.in/ac/public/uploads2/candprofile/E32/2026/AC/s25/MIRJA-2026-20260408054840.jpg</t>
  </si>
  <si>
    <t>UDAY BARUA</t>
  </si>
  <si>
    <t>https://suvidha.eci.gov.in/ac/public/uploads2/candprofile/E32/2026/AC/S25/UDAYB-2026-20260411083406.jpg</t>
  </si>
  <si>
    <t>HRIDAY KANT PATHAK</t>
  </si>
  <si>
    <t>https://suvidha.eci.gov.in/ac/public/uploads2/candprofile/E32/2026/AC/s25/HRIDA-2026-20260409024327.jpg</t>
  </si>
  <si>
    <t>SAIKAT RAM</t>
  </si>
  <si>
    <t>https://suvidha.eci.gov.in/ac/public/uploads2/candprofile/E32/2026/AC/s25/SAIKA-2026-20260409080404.jpg</t>
  </si>
  <si>
    <t>MD  MIR SAMSUDDIN</t>
  </si>
  <si>
    <t>https://suvidha.eci.gov.in/ac/public/uploads2/candprofile/E32/2026/AC/s25/MDMIR-2026-20260409080033.jpg</t>
  </si>
  <si>
    <t>MD MOMTAJUR RAHAMAN MOLLA</t>
  </si>
  <si>
    <t>https://suvidha.eci.gov.in/ac/public/uploads2/candprofile/E32/2026/AC/s25/MDMOM-2026-20260409075228.jpg</t>
  </si>
  <si>
    <t>MD RABIUL ISLAM GAZI</t>
  </si>
  <si>
    <t>https://suvidha.eci.gov.in/ac/public/uploads2/candprofile/E32/2026/AC/S25/MDRAB-2026-20260404050250.jpg</t>
  </si>
  <si>
    <t>RAJIB AHAMED</t>
  </si>
  <si>
    <t>https://suvidha.eci.gov.in/ac/public/uploads2/candprofile/E32/2026/AC/S25/RAJIB-2026-20260404050148.jpg</t>
  </si>
  <si>
    <t>আয়াসানুল হক এসকে</t>
  </si>
  <si>
    <t>সামসুন নাহার খাতুন শেখ</t>
  </si>
  <si>
    <t>সৌমেন মান্না</t>
  </si>
  <si>
    <t>অসিত বারণ সাউ</t>
  </si>
  <si>
    <t>আবু আব্বাস উদ্দিন এস.কে.</t>
  </si>
  <si>
    <t>তপন টুডু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</si>
</sst>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49"/>
  <sheetViews>
    <sheetView tabSelected="1" topLeftCell="O150" workbookViewId="0">
      <selection activeCell="P161" sqref="P161"/>
    </sheetView>
  </sheetViews>
  <sheetFormatPr defaultColWidth="14.453125" defaultRowHeight="15" customHeight="1" x14ac:dyDescent="0.35"/>
  <cols>
    <col min="1" max="13" width="8.7265625" customWidth="1"/>
    <col min="14" max="14" width="31.81640625" bestFit="1" customWidth="1"/>
    <col min="15" max="15" width="43.7265625" customWidth="1"/>
    <col min="16" max="16" width="36.26953125" bestFit="1" customWidth="1"/>
    <col min="17" max="17" width="48.26953125" customWidth="1"/>
    <col min="18" max="18" width="36.08984375" customWidth="1"/>
    <col min="19" max="19" width="48.26953125" customWidth="1"/>
    <col min="20" max="21" width="8.7265625" customWidth="1"/>
    <col min="22" max="22" width="106.08984375" customWidth="1"/>
    <col min="23" max="23" width="15.26953125" customWidth="1"/>
  </cols>
  <sheetData>
    <row r="1" spans="1:23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.5" x14ac:dyDescent="0.35">
      <c r="A2" s="2" t="s">
        <v>23</v>
      </c>
      <c r="L2" s="2">
        <v>129</v>
      </c>
      <c r="M2" s="2" t="s">
        <v>24</v>
      </c>
      <c r="O2" s="2" t="s">
        <v>25</v>
      </c>
      <c r="P2" s="2" t="str">
        <f ca="1">IFERROR(__xludf.DUMMYFUNCTION("GOOGLETRANSLATE(O2,""en"",""bn"")"),"গণেশ চন্দ্র মণ্ডল")</f>
        <v>গণেশ চন্দ্র মণ্ডল</v>
      </c>
      <c r="Q2" s="2" t="s">
        <v>26</v>
      </c>
      <c r="S2" s="2" t="s">
        <v>26</v>
      </c>
      <c r="V2" s="2" t="s">
        <v>27</v>
      </c>
      <c r="W2" s="2">
        <v>2</v>
      </c>
    </row>
    <row r="3" spans="1:23" ht="14.5" x14ac:dyDescent="0.35">
      <c r="A3" s="2" t="s">
        <v>23</v>
      </c>
      <c r="L3" s="2">
        <v>172</v>
      </c>
      <c r="M3" s="2" t="s">
        <v>28</v>
      </c>
      <c r="O3" s="2" t="s">
        <v>29</v>
      </c>
      <c r="P3" s="2" t="str">
        <f ca="1">IFERROR(__xludf.DUMMYFUNCTION("GOOGLETRANSLATE(O3,""en"",""bn"")"),"ডঃ জগন্নাথ ভট্টাচার্য")</f>
        <v>ডঃ জগন্নাথ ভট্টাচার্য</v>
      </c>
      <c r="Q3" s="2" t="s">
        <v>30</v>
      </c>
      <c r="S3" s="2" t="s">
        <v>30</v>
      </c>
      <c r="V3" s="2" t="s">
        <v>31</v>
      </c>
      <c r="W3" s="2">
        <v>2</v>
      </c>
    </row>
    <row r="4" spans="1:23" ht="14.5" x14ac:dyDescent="0.35">
      <c r="A4" s="2" t="s">
        <v>23</v>
      </c>
      <c r="L4" s="2">
        <v>107</v>
      </c>
      <c r="M4" s="2" t="s">
        <v>32</v>
      </c>
      <c r="O4" s="2" t="s">
        <v>33</v>
      </c>
      <c r="P4" s="2" t="str">
        <f ca="1">IFERROR(__xludf.DUMMYFUNCTION("GOOGLETRANSLATE(O4,""en"",""bn"")"),"অর্জুন সিং")</f>
        <v>অর্জুন সিং</v>
      </c>
      <c r="Q4" s="2" t="s">
        <v>34</v>
      </c>
      <c r="S4" s="2" t="s">
        <v>34</v>
      </c>
      <c r="V4" s="2" t="s">
        <v>35</v>
      </c>
      <c r="W4" s="2">
        <v>2</v>
      </c>
    </row>
    <row r="5" spans="1:23" ht="14.5" x14ac:dyDescent="0.35">
      <c r="A5" s="2" t="s">
        <v>23</v>
      </c>
      <c r="L5" s="2">
        <v>157</v>
      </c>
      <c r="M5" s="2" t="s">
        <v>36</v>
      </c>
      <c r="O5" s="2" t="s">
        <v>37</v>
      </c>
      <c r="P5" s="2" t="str">
        <f ca="1">IFERROR(__xludf.DUMMYFUNCTION("GOOGLETRANSLATE(O5,""en"",""bn"")"),"আব্দুল খালেক মোল্লা")</f>
        <v>আব্দুল খালেক মোল্লা</v>
      </c>
      <c r="Q5" s="2" t="s">
        <v>26</v>
      </c>
      <c r="S5" s="2" t="s">
        <v>26</v>
      </c>
      <c r="V5" s="2" t="s">
        <v>38</v>
      </c>
      <c r="W5" s="2">
        <v>2</v>
      </c>
    </row>
    <row r="6" spans="1:23" ht="14.5" x14ac:dyDescent="0.35">
      <c r="A6" s="2" t="s">
        <v>23</v>
      </c>
      <c r="L6" s="2">
        <v>116</v>
      </c>
      <c r="M6" s="2" t="s">
        <v>39</v>
      </c>
      <c r="O6" s="2" t="s">
        <v>40</v>
      </c>
      <c r="P6" s="2" t="str">
        <f ca="1">IFERROR(__xludf.DUMMYFUNCTION("GOOGLETRANSLATE(O6,""en"",""bn"")"),"রণজিৎ মুখার্জি")</f>
        <v>রণজিৎ মুখার্জি</v>
      </c>
      <c r="Q6" s="2" t="s">
        <v>41</v>
      </c>
      <c r="S6" s="2" t="s">
        <v>41</v>
      </c>
      <c r="V6" s="2" t="s">
        <v>42</v>
      </c>
      <c r="W6" s="2">
        <v>2</v>
      </c>
    </row>
    <row r="7" spans="1:23" ht="14.5" x14ac:dyDescent="0.35">
      <c r="A7" s="2" t="s">
        <v>23</v>
      </c>
      <c r="L7" s="2">
        <v>136</v>
      </c>
      <c r="M7" s="2" t="s">
        <v>43</v>
      </c>
      <c r="O7" s="2" t="s">
        <v>44</v>
      </c>
      <c r="P7" s="2" t="str">
        <f ca="1">IFERROR(__xludf.DUMMYFUNCTION("GOOGLETRANSLATE(O7,""en"",""bn"")"),"অপূর্ব প্রমাণিক (APU)")</f>
        <v>অপূর্ব প্রমাণিক (APU)</v>
      </c>
      <c r="Q7" s="2" t="s">
        <v>45</v>
      </c>
      <c r="S7" s="2" t="s">
        <v>45</v>
      </c>
      <c r="V7" s="2" t="s">
        <v>46</v>
      </c>
      <c r="W7" s="2">
        <v>2</v>
      </c>
    </row>
    <row r="8" spans="1:23" ht="14.5" x14ac:dyDescent="0.35">
      <c r="A8" s="2" t="s">
        <v>23</v>
      </c>
      <c r="L8" s="2">
        <v>78</v>
      </c>
      <c r="M8" s="2" t="s">
        <v>47</v>
      </c>
      <c r="O8" s="2" t="s">
        <v>48</v>
      </c>
      <c r="P8" s="2" t="str">
        <f ca="1">IFERROR(__xludf.DUMMYFUNCTION("GOOGLETRANSLATE(O8,""en"",""bn"")"),"অরবিন্দ বিশ্বাস")</f>
        <v>অরবিন্দ বিশ্বাস</v>
      </c>
      <c r="Q8" s="2" t="s">
        <v>49</v>
      </c>
      <c r="S8" s="2" t="s">
        <v>49</v>
      </c>
      <c r="V8" s="2" t="s">
        <v>50</v>
      </c>
      <c r="W8" s="2">
        <v>2</v>
      </c>
    </row>
    <row r="9" spans="1:23" ht="14.5" x14ac:dyDescent="0.35">
      <c r="A9" s="2" t="s">
        <v>23</v>
      </c>
      <c r="L9" s="2">
        <v>149</v>
      </c>
      <c r="M9" s="2" t="s">
        <v>51</v>
      </c>
      <c r="O9" s="2" t="s">
        <v>52</v>
      </c>
      <c r="P9" s="2" t="str">
        <f ca="1">IFERROR(__xludf.DUMMYFUNCTION("GOOGLETRANSLATE(O9,""en"",""bn"")"),"আহমেদ জাভেদ খান")</f>
        <v>আহমেদ জাভেদ খান</v>
      </c>
      <c r="Q9" s="2" t="s">
        <v>26</v>
      </c>
      <c r="S9" s="2" t="s">
        <v>26</v>
      </c>
      <c r="V9" s="2" t="s">
        <v>53</v>
      </c>
      <c r="W9" s="2">
        <v>2</v>
      </c>
    </row>
    <row r="10" spans="1:23" ht="14.5" x14ac:dyDescent="0.35">
      <c r="A10" s="2" t="s">
        <v>23</v>
      </c>
      <c r="L10" s="2">
        <v>267</v>
      </c>
      <c r="M10" s="2" t="s">
        <v>54</v>
      </c>
      <c r="O10" s="2" t="s">
        <v>55</v>
      </c>
      <c r="P10" s="2" t="str">
        <f ca="1">IFERROR(__xludf.DUMMYFUNCTION("GOOGLETRANSLATE(O10,""en"",""bn"")"),"কারফা সোমেন")</f>
        <v>কারফা সোমেন</v>
      </c>
      <c r="Q10" s="2" t="s">
        <v>34</v>
      </c>
      <c r="S10" s="2" t="s">
        <v>34</v>
      </c>
      <c r="V10" s="2" t="s">
        <v>56</v>
      </c>
      <c r="W10" s="2">
        <v>2</v>
      </c>
    </row>
    <row r="11" spans="1:23" ht="14.5" x14ac:dyDescent="0.35">
      <c r="A11" s="2" t="s">
        <v>23</v>
      </c>
      <c r="L11" s="2">
        <v>158</v>
      </c>
      <c r="M11" s="2" t="s">
        <v>57</v>
      </c>
      <c r="O11" s="2" t="s">
        <v>58</v>
      </c>
      <c r="P11" s="2" t="str">
        <f ca="1">IFERROR(__xludf.DUMMYFUNCTION("GOOGLETRANSLATE(O11,""en"",""bn"")"),"আকিব গুলজার")</f>
        <v>আকিব গুলজার</v>
      </c>
      <c r="Q11" s="2" t="s">
        <v>41</v>
      </c>
      <c r="S11" s="2" t="s">
        <v>41</v>
      </c>
      <c r="V11" s="2" t="s">
        <v>59</v>
      </c>
      <c r="W11" s="2">
        <v>2</v>
      </c>
    </row>
    <row r="12" spans="1:23" ht="14.5" x14ac:dyDescent="0.35">
      <c r="A12" s="2" t="s">
        <v>23</v>
      </c>
      <c r="L12" s="2">
        <v>184</v>
      </c>
      <c r="M12" s="2" t="s">
        <v>60</v>
      </c>
      <c r="O12" s="2" t="s">
        <v>61</v>
      </c>
      <c r="P12" s="2" t="str">
        <f ca="1">IFERROR(__xludf.DUMMYFUNCTION("GOOGLETRANSLATE(O12,""en"",""bn"")"),"আলোকে কোলে")</f>
        <v>আলোকে কোলে</v>
      </c>
      <c r="Q12" s="2" t="s">
        <v>41</v>
      </c>
      <c r="S12" s="2" t="s">
        <v>41</v>
      </c>
      <c r="V12" s="2" t="s">
        <v>62</v>
      </c>
      <c r="W12" s="2">
        <v>2</v>
      </c>
    </row>
    <row r="13" spans="1:23" ht="14.5" x14ac:dyDescent="0.35">
      <c r="A13" s="2" t="s">
        <v>23</v>
      </c>
      <c r="L13" s="2">
        <v>141</v>
      </c>
      <c r="M13" s="2" t="s">
        <v>63</v>
      </c>
      <c r="O13" s="2" t="s">
        <v>64</v>
      </c>
      <c r="P13" s="2" t="str">
        <f ca="1">IFERROR(__xludf.DUMMYFUNCTION("GOOGLETRANSLATE(O13,""en"",""bn"")"),"অতনু হালদার")</f>
        <v>অতনু হালদার</v>
      </c>
      <c r="Q13" s="2" t="s">
        <v>41</v>
      </c>
      <c r="S13" s="2" t="s">
        <v>41</v>
      </c>
      <c r="V13" s="2" t="s">
        <v>65</v>
      </c>
      <c r="W13" s="2">
        <v>2</v>
      </c>
    </row>
    <row r="14" spans="1:23" ht="14.5" x14ac:dyDescent="0.35">
      <c r="A14" s="2" t="s">
        <v>23</v>
      </c>
      <c r="L14" s="2">
        <v>177</v>
      </c>
      <c r="M14" s="2" t="s">
        <v>66</v>
      </c>
      <c r="O14" s="2" t="s">
        <v>67</v>
      </c>
      <c r="P14" s="2" t="str">
        <f ca="1">IFERROR(__xludf.DUMMYFUNCTION("GOOGLETRANSLATE(O14,""en"",""bn"")"),"অশোক ডালুই")</f>
        <v>অশোক ডালুই</v>
      </c>
      <c r="Q14" s="2" t="s">
        <v>45</v>
      </c>
      <c r="S14" s="2" t="s">
        <v>45</v>
      </c>
      <c r="V14" s="2" t="s">
        <v>68</v>
      </c>
      <c r="W14" s="2">
        <v>2</v>
      </c>
    </row>
    <row r="15" spans="1:23" ht="14.5" x14ac:dyDescent="0.35">
      <c r="A15" s="2" t="s">
        <v>23</v>
      </c>
      <c r="L15" s="2">
        <v>100</v>
      </c>
      <c r="M15" s="2" t="s">
        <v>69</v>
      </c>
      <c r="O15" s="2" t="s">
        <v>70</v>
      </c>
      <c r="P15" s="2" t="str">
        <f ca="1">IFERROR(__xludf.DUMMYFUNCTION("GOOGLETRANSLATE(O15,""en"",""bn"")"),"রিজিনান্দন বিশ্বাস")</f>
        <v>রিজিনান্দন বিশ্বাস</v>
      </c>
      <c r="Q15" s="2" t="s">
        <v>45</v>
      </c>
      <c r="S15" s="2" t="s">
        <v>45</v>
      </c>
      <c r="V15" s="2" t="s">
        <v>71</v>
      </c>
      <c r="W15" s="2">
        <v>2</v>
      </c>
    </row>
    <row r="16" spans="1:23" ht="14.5" x14ac:dyDescent="0.35">
      <c r="A16" s="2" t="s">
        <v>23</v>
      </c>
      <c r="L16" s="2">
        <v>160</v>
      </c>
      <c r="M16" s="2" t="s">
        <v>72</v>
      </c>
      <c r="O16" s="2" t="s">
        <v>73</v>
      </c>
      <c r="P16" s="2" t="str">
        <f ca="1">IFERROR(__xludf.DUMMYFUNCTION("GOOGLETRANSLATE(O16,""en"",""bn"")"),"আশুতোষ চ্যাটার্জি")</f>
        <v>আশুতোষ চ্যাটার্জি</v>
      </c>
      <c r="Q16" s="2" t="s">
        <v>41</v>
      </c>
      <c r="S16" s="2" t="s">
        <v>41</v>
      </c>
      <c r="V16" s="2" t="s">
        <v>74</v>
      </c>
      <c r="W16" s="2">
        <v>2</v>
      </c>
    </row>
    <row r="17" spans="1:23" ht="14.5" x14ac:dyDescent="0.35">
      <c r="A17" s="2" t="s">
        <v>23</v>
      </c>
      <c r="L17" s="2">
        <v>146</v>
      </c>
      <c r="M17" s="2" t="s">
        <v>75</v>
      </c>
      <c r="O17" s="2" t="s">
        <v>76</v>
      </c>
      <c r="P17" s="2" t="str">
        <f ca="1">IFERROR(__xludf.DUMMYFUNCTION("GOOGLETRANSLATE(O17,""en"",""bn"")"),"অভিজিৎ সর্দার")</f>
        <v>অভিজিৎ সর্দার</v>
      </c>
      <c r="Q17" s="2" t="s">
        <v>34</v>
      </c>
      <c r="S17" s="2" t="s">
        <v>34</v>
      </c>
      <c r="V17" s="2" t="s">
        <v>77</v>
      </c>
      <c r="W17" s="2">
        <v>2</v>
      </c>
    </row>
    <row r="18" spans="1:23" ht="14.5" x14ac:dyDescent="0.35">
      <c r="A18" s="2" t="s">
        <v>23</v>
      </c>
      <c r="L18" s="2">
        <v>263</v>
      </c>
      <c r="M18" s="2" t="s">
        <v>78</v>
      </c>
      <c r="O18" s="2" t="s">
        <v>79</v>
      </c>
      <c r="P18" s="2" t="str">
        <f ca="1">IFERROR(__xludf.DUMMYFUNCTION("GOOGLETRANSLATE(O18,""en"",""bn"")"),"অনুপম ঘোষ")</f>
        <v>অনুপম ঘোষ</v>
      </c>
      <c r="Q18" s="2" t="s">
        <v>45</v>
      </c>
      <c r="S18" s="2" t="s">
        <v>45</v>
      </c>
      <c r="V18" s="2" t="s">
        <v>80</v>
      </c>
      <c r="W18" s="2">
        <v>2</v>
      </c>
    </row>
    <row r="19" spans="1:23" ht="14.5" x14ac:dyDescent="0.35">
      <c r="A19" s="2" t="s">
        <v>23</v>
      </c>
      <c r="L19" s="2">
        <v>151</v>
      </c>
      <c r="M19" s="2" t="s">
        <v>81</v>
      </c>
      <c r="O19" s="2" t="s">
        <v>82</v>
      </c>
      <c r="P19" s="2" t="str">
        <f ca="1">IFERROR(__xludf.DUMMYFUNCTION("GOOGLETRANSLATE(O19,""en"",""bn"")"),"জগন্নাথ কুমার")</f>
        <v>জগন্নাথ কুমার</v>
      </c>
      <c r="Q19" s="2" t="s">
        <v>41</v>
      </c>
      <c r="S19" s="2" t="s">
        <v>41</v>
      </c>
      <c r="V19" s="2" t="s">
        <v>83</v>
      </c>
      <c r="W19" s="2">
        <v>2</v>
      </c>
    </row>
    <row r="20" spans="1:23" ht="14.5" x14ac:dyDescent="0.35">
      <c r="A20" s="2" t="s">
        <v>23</v>
      </c>
      <c r="L20" s="2">
        <v>115</v>
      </c>
      <c r="M20" s="2" t="s">
        <v>84</v>
      </c>
      <c r="O20" s="2" t="s">
        <v>85</v>
      </c>
      <c r="P20" s="2" t="str">
        <f ca="1">IFERROR(__xludf.DUMMYFUNCTION("GOOGLETRANSLATE(O20,""en"",""bn"")"),"পিয়ুশ কানোদিয়া")</f>
        <v>পিয়ুশ কানোদিয়া</v>
      </c>
      <c r="Q20" s="2" t="s">
        <v>34</v>
      </c>
      <c r="S20" s="2" t="s">
        <v>34</v>
      </c>
      <c r="V20" s="2" t="s">
        <v>86</v>
      </c>
      <c r="W20" s="2">
        <v>2</v>
      </c>
    </row>
    <row r="21" spans="1:23" ht="15.75" customHeight="1" x14ac:dyDescent="0.35">
      <c r="A21" s="2" t="s">
        <v>23</v>
      </c>
      <c r="L21" s="2">
        <v>171</v>
      </c>
      <c r="M21" s="2" t="s">
        <v>87</v>
      </c>
      <c r="O21" s="2" t="s">
        <v>88</v>
      </c>
      <c r="P21" s="2" t="str">
        <f ca="1">IFERROR(__xludf.DUMMYFUNCTION("GOOGLETRANSLATE(O21,""en"",""bn"")"),"অপর্ণা বোস")</f>
        <v>অপর্ণা বোস</v>
      </c>
      <c r="Q21" s="2" t="s">
        <v>41</v>
      </c>
      <c r="S21" s="2" t="s">
        <v>41</v>
      </c>
      <c r="V21" s="2" t="s">
        <v>89</v>
      </c>
      <c r="W21" s="2">
        <v>2</v>
      </c>
    </row>
    <row r="22" spans="1:23" ht="15.75" customHeight="1" x14ac:dyDescent="0.35">
      <c r="A22" s="2" t="s">
        <v>23</v>
      </c>
      <c r="L22" s="2">
        <v>169</v>
      </c>
      <c r="M22" s="2" t="s">
        <v>90</v>
      </c>
      <c r="O22" s="2" t="s">
        <v>91</v>
      </c>
      <c r="P22" s="2" t="str">
        <f ca="1">IFERROR(__xludf.DUMMYFUNCTION("GOOGLETRANSLATE(O22,""en"",""bn"")"),"পুতুল চৌধুরী")</f>
        <v>পুতুল চৌধুরী</v>
      </c>
      <c r="Q22" s="2" t="s">
        <v>92</v>
      </c>
      <c r="S22" s="2" t="s">
        <v>92</v>
      </c>
      <c r="V22" s="2" t="s">
        <v>93</v>
      </c>
      <c r="W22" s="2">
        <v>2</v>
      </c>
    </row>
    <row r="23" spans="1:23" ht="15.75" customHeight="1" x14ac:dyDescent="0.35">
      <c r="A23" s="2" t="s">
        <v>23</v>
      </c>
      <c r="L23" s="2">
        <v>156</v>
      </c>
      <c r="M23" s="2" t="s">
        <v>94</v>
      </c>
      <c r="O23" s="2" t="s">
        <v>95</v>
      </c>
      <c r="P23" s="2" t="str">
        <f ca="1">IFERROR(__xludf.DUMMYFUNCTION("GOOGLETRANSLATE(O23,""en"",""bn"")"),"অশোক কুমার দেব")</f>
        <v>অশোক কুমার দেব</v>
      </c>
      <c r="Q23" s="2" t="s">
        <v>26</v>
      </c>
      <c r="S23" s="2" t="s">
        <v>26</v>
      </c>
      <c r="V23" s="2" t="s">
        <v>96</v>
      </c>
      <c r="W23" s="2">
        <v>2</v>
      </c>
    </row>
    <row r="24" spans="1:23" ht="15.75" customHeight="1" x14ac:dyDescent="0.35">
      <c r="A24" s="2" t="s">
        <v>23</v>
      </c>
      <c r="L24" s="2">
        <v>182</v>
      </c>
      <c r="M24" s="2" t="s">
        <v>97</v>
      </c>
      <c r="O24" s="2" t="s">
        <v>98</v>
      </c>
      <c r="P24" s="2" t="str">
        <f ca="1">IFERROR(__xludf.DUMMYFUNCTION("GOOGLETRANSLATE(O24,""en"",""bn"")"),"অসিত বাকুলি")</f>
        <v>অসিত বাকুলি</v>
      </c>
      <c r="Q24" s="2" t="s">
        <v>41</v>
      </c>
      <c r="S24" s="2" t="s">
        <v>41</v>
      </c>
      <c r="V24" s="2" t="s">
        <v>99</v>
      </c>
      <c r="W24" s="2">
        <v>2</v>
      </c>
    </row>
    <row r="25" spans="1:23" ht="15.75" customHeight="1" x14ac:dyDescent="0.35">
      <c r="A25" s="2" t="s">
        <v>23</v>
      </c>
      <c r="L25" s="2">
        <v>168</v>
      </c>
      <c r="M25" s="2" t="s">
        <v>100</v>
      </c>
      <c r="O25" s="2" t="s">
        <v>101</v>
      </c>
      <c r="P25" s="2" t="str">
        <f ca="1">IFERROR(__xludf.DUMMYFUNCTION("GOOGLETRANSLATE(O25,""en"",""bn"")"),"অতিন ঘোষ")</f>
        <v>অতিন ঘোষ</v>
      </c>
      <c r="Q25" s="2" t="s">
        <v>26</v>
      </c>
      <c r="S25" s="2" t="s">
        <v>26</v>
      </c>
      <c r="V25" s="2" t="s">
        <v>102</v>
      </c>
      <c r="W25" s="2">
        <v>2</v>
      </c>
    </row>
    <row r="26" spans="1:23" ht="15.75" customHeight="1" x14ac:dyDescent="0.35">
      <c r="A26" s="2" t="s">
        <v>23</v>
      </c>
      <c r="L26" s="2">
        <v>79</v>
      </c>
      <c r="M26" s="2" t="s">
        <v>103</v>
      </c>
      <c r="O26" s="2" t="s">
        <v>104</v>
      </c>
      <c r="P26" s="2" t="str">
        <f ca="1">IFERROR(__xludf.DUMMYFUNCTION("GOOGLETRANSLATE(O26,""en"",""bn"")"),"অনিমা দত্ত")</f>
        <v>অনিমা দত্ত</v>
      </c>
      <c r="Q26" s="2" t="s">
        <v>34</v>
      </c>
      <c r="S26" s="2" t="s">
        <v>34</v>
      </c>
      <c r="V26" s="2" t="s">
        <v>105</v>
      </c>
      <c r="W26" s="2">
        <v>2</v>
      </c>
    </row>
    <row r="27" spans="1:23" ht="15.75" customHeight="1" x14ac:dyDescent="0.35">
      <c r="A27" s="2" t="s">
        <v>23</v>
      </c>
      <c r="L27" s="2">
        <v>188</v>
      </c>
      <c r="M27" s="2" t="s">
        <v>106</v>
      </c>
      <c r="O27" s="2" t="s">
        <v>107</v>
      </c>
      <c r="P27" s="2" t="str">
        <f ca="1">IFERROR(__xludf.DUMMYFUNCTION("GOOGLETRANSLATE(O27,""en"",""bn"")"),"অরূপ কুমার দাস")</f>
        <v>অরূপ কুমার দাস</v>
      </c>
      <c r="Q27" s="2" t="s">
        <v>34</v>
      </c>
      <c r="S27" s="2" t="s">
        <v>34</v>
      </c>
      <c r="V27" s="2" t="s">
        <v>108</v>
      </c>
      <c r="W27" s="2">
        <v>2</v>
      </c>
    </row>
    <row r="28" spans="1:23" ht="15.75" customHeight="1" x14ac:dyDescent="0.35">
      <c r="A28" s="2" t="s">
        <v>23</v>
      </c>
      <c r="L28" s="2">
        <v>167</v>
      </c>
      <c r="M28" s="2" t="s">
        <v>109</v>
      </c>
      <c r="O28" s="2" t="s">
        <v>110</v>
      </c>
      <c r="P28" s="2" t="str">
        <f ca="1">IFERROR(__xludf.DUMMYFUNCTION("GOOGLETRANSLATE(O28,""en"",""bn"")"),"সঞ্জয় প্রজাপতি")</f>
        <v>সঞ্জয় প্রজাপতি</v>
      </c>
      <c r="Q28" s="2" t="s">
        <v>49</v>
      </c>
      <c r="S28" s="2" t="s">
        <v>49</v>
      </c>
      <c r="V28" s="2" t="s">
        <v>111</v>
      </c>
      <c r="W28" s="2">
        <v>2</v>
      </c>
    </row>
    <row r="29" spans="1:23" ht="15.75" customHeight="1" x14ac:dyDescent="0.35">
      <c r="A29" s="2" t="s">
        <v>23</v>
      </c>
      <c r="L29" s="2">
        <v>161</v>
      </c>
      <c r="M29" s="2" t="s">
        <v>112</v>
      </c>
      <c r="O29" s="2" t="s">
        <v>113</v>
      </c>
      <c r="P29" s="2" t="str">
        <f ca="1">IFERROR(__xludf.DUMMYFUNCTION("GOOGLETRANSLATE(O29,""en"",""bn"")"),"আফরীন বেগম")</f>
        <v>আফরীন বেগম</v>
      </c>
      <c r="Q29" s="2" t="s">
        <v>45</v>
      </c>
      <c r="S29" s="2" t="s">
        <v>45</v>
      </c>
      <c r="V29" s="2" t="s">
        <v>114</v>
      </c>
      <c r="W29" s="2">
        <v>2</v>
      </c>
    </row>
    <row r="30" spans="1:23" ht="15.75" customHeight="1" x14ac:dyDescent="0.35">
      <c r="A30" s="2" t="s">
        <v>23</v>
      </c>
      <c r="L30" s="2">
        <v>98</v>
      </c>
      <c r="M30" s="2" t="s">
        <v>115</v>
      </c>
      <c r="O30" s="2" t="s">
        <v>116</v>
      </c>
      <c r="P30" s="2" t="str">
        <f ca="1">IFERROR(__xludf.DUMMYFUNCTION("GOOGLETRANSLATE(O30,""en"",""bn"")"),"তারক সাহা")</f>
        <v>তারক সাহা</v>
      </c>
      <c r="Q30" s="2" t="s">
        <v>34</v>
      </c>
      <c r="S30" s="2" t="s">
        <v>34</v>
      </c>
      <c r="V30" s="2" t="s">
        <v>117</v>
      </c>
      <c r="W30" s="2">
        <v>2</v>
      </c>
    </row>
    <row r="31" spans="1:23" ht="15.75" customHeight="1" x14ac:dyDescent="0.35">
      <c r="A31" s="2" t="s">
        <v>23</v>
      </c>
      <c r="L31" s="2">
        <v>193</v>
      </c>
      <c r="M31" s="2" t="s">
        <v>118</v>
      </c>
      <c r="O31" s="2" t="s">
        <v>119</v>
      </c>
      <c r="P31" s="2" t="str">
        <f ca="1">IFERROR(__xludf.DUMMYFUNCTION("GOOGLETRANSLATE(O31,""en"",""bn"")"),"অনির্বাণ সরকার")</f>
        <v>অনির্বাণ সরকার</v>
      </c>
      <c r="Q31" s="2" t="s">
        <v>45</v>
      </c>
      <c r="S31" s="2" t="s">
        <v>45</v>
      </c>
      <c r="V31" s="2" t="s">
        <v>120</v>
      </c>
      <c r="W31" s="2">
        <v>2</v>
      </c>
    </row>
    <row r="32" spans="1:23" ht="15.75" customHeight="1" x14ac:dyDescent="0.35">
      <c r="A32" s="2" t="s">
        <v>23</v>
      </c>
      <c r="L32" s="2">
        <v>118</v>
      </c>
      <c r="M32" s="2" t="s">
        <v>121</v>
      </c>
      <c r="O32" s="2" t="s">
        <v>122</v>
      </c>
      <c r="P32" s="2" t="str">
        <f ca="1">IFERROR(__xludf.DUMMYFUNCTION("GOOGLETRANSLATE(O32,""en"",""bn"")"),"অনন্ত রায়")</f>
        <v>অনন্ত রায়</v>
      </c>
      <c r="Q32" s="2" t="s">
        <v>41</v>
      </c>
      <c r="S32" s="2" t="s">
        <v>41</v>
      </c>
      <c r="V32" s="2" t="s">
        <v>123</v>
      </c>
      <c r="W32" s="2">
        <v>2</v>
      </c>
    </row>
    <row r="33" spans="1:23" ht="15.75" customHeight="1" x14ac:dyDescent="0.35">
      <c r="A33" s="2" t="s">
        <v>23</v>
      </c>
      <c r="L33" s="2">
        <v>128</v>
      </c>
      <c r="M33" s="2" t="s">
        <v>124</v>
      </c>
      <c r="O33" s="2" t="s">
        <v>125</v>
      </c>
      <c r="P33" s="2" t="str">
        <f ca="1">IFERROR(__xludf.DUMMYFUNCTION("GOOGLETRANSLATE(O33,""en"",""bn"")"),"গোপীনাথ নাইয়া")</f>
        <v>গোপীনাথ নাইয়া</v>
      </c>
      <c r="Q33" s="2" t="s">
        <v>41</v>
      </c>
      <c r="S33" s="2" t="s">
        <v>41</v>
      </c>
      <c r="V33" s="2" t="s">
        <v>126</v>
      </c>
      <c r="W33" s="2">
        <v>2</v>
      </c>
    </row>
    <row r="34" spans="1:23" ht="15.75" customHeight="1" x14ac:dyDescent="0.35">
      <c r="A34" s="2" t="s">
        <v>23</v>
      </c>
      <c r="L34" s="2">
        <v>173</v>
      </c>
      <c r="M34" s="2" t="s">
        <v>127</v>
      </c>
      <c r="O34" s="2" t="s">
        <v>128</v>
      </c>
      <c r="P34" s="2" t="str">
        <f ca="1">IFERROR(__xludf.DUMMYFUNCTION("GOOGLETRANSLATE(O34,""en"",""bn"")"),"অভিজিৎ ব্যানার্জী")</f>
        <v>অভিজিৎ ব্যানার্জী</v>
      </c>
      <c r="Q34" s="2" t="s">
        <v>45</v>
      </c>
      <c r="S34" s="2" t="s">
        <v>45</v>
      </c>
      <c r="V34" s="2" t="s">
        <v>129</v>
      </c>
      <c r="W34" s="2">
        <v>2</v>
      </c>
    </row>
    <row r="35" spans="1:23" ht="15.75" customHeight="1" x14ac:dyDescent="0.35">
      <c r="A35" s="2" t="s">
        <v>23</v>
      </c>
      <c r="L35" s="2">
        <v>131</v>
      </c>
      <c r="M35" s="2" t="s">
        <v>130</v>
      </c>
      <c r="O35" s="2" t="s">
        <v>131</v>
      </c>
      <c r="P35" s="2" t="str">
        <f ca="1">IFERROR(__xludf.DUMMYFUNCTION("GOOGLETRANSLATE(O35,""en"",""bn"")"),"দীপঙ্কর জানা")</f>
        <v>দীপঙ্কর জানা</v>
      </c>
      <c r="Q35" s="2" t="s">
        <v>34</v>
      </c>
      <c r="S35" s="2" t="s">
        <v>34</v>
      </c>
      <c r="V35" s="2" t="s">
        <v>132</v>
      </c>
      <c r="W35" s="2">
        <v>2</v>
      </c>
    </row>
    <row r="36" spans="1:23" ht="15.75" customHeight="1" x14ac:dyDescent="0.35">
      <c r="A36" s="2" t="s">
        <v>23</v>
      </c>
      <c r="L36" s="2">
        <v>126</v>
      </c>
      <c r="M36" s="2" t="s">
        <v>133</v>
      </c>
      <c r="O36" s="2" t="s">
        <v>134</v>
      </c>
      <c r="P36" s="2" t="str">
        <f ca="1">IFERROR(__xludf.DUMMYFUNCTION("GOOGLETRANSLATE(O36,""en"",""bn"")"),"আনন্দ সরকার")</f>
        <v>আনন্দ সরকার</v>
      </c>
      <c r="Q36" s="2" t="s">
        <v>26</v>
      </c>
      <c r="S36" s="2" t="s">
        <v>26</v>
      </c>
      <c r="V36" s="2" t="s">
        <v>135</v>
      </c>
      <c r="W36" s="2">
        <v>2</v>
      </c>
    </row>
    <row r="37" spans="1:23" ht="15.75" customHeight="1" x14ac:dyDescent="0.35">
      <c r="A37" s="2" t="s">
        <v>23</v>
      </c>
      <c r="L37" s="2">
        <v>154</v>
      </c>
      <c r="M37" s="2" t="s">
        <v>136</v>
      </c>
      <c r="O37" s="2" t="s">
        <v>137</v>
      </c>
      <c r="P37" s="2" t="str">
        <f ca="1">IFERROR(__xludf.DUMMYFUNCTION("GOOGLETRANSLATE(O37,""en"",""bn"")"),"আদর্শ রায়")</f>
        <v>আদর্শ রায়</v>
      </c>
      <c r="Q37" s="2" t="s">
        <v>49</v>
      </c>
      <c r="S37" s="2" t="s">
        <v>49</v>
      </c>
      <c r="V37" s="2" t="s">
        <v>138</v>
      </c>
      <c r="W37" s="2">
        <v>2</v>
      </c>
    </row>
    <row r="38" spans="1:23" ht="15.75" customHeight="1" x14ac:dyDescent="0.35">
      <c r="A38" s="2" t="s">
        <v>23</v>
      </c>
      <c r="L38" s="2">
        <v>176</v>
      </c>
      <c r="M38" s="2" t="s">
        <v>139</v>
      </c>
      <c r="O38" s="2" t="s">
        <v>140</v>
      </c>
      <c r="P38" s="2" t="str">
        <f ca="1">IFERROR(__xludf.DUMMYFUNCTION("GOOGLETRANSLATE(O38,""en"",""bn"")"),"আলাম দেইয়ান সেখ")</f>
        <v>আলাম দেইয়ান সেখ</v>
      </c>
      <c r="Q38" s="2" t="s">
        <v>41</v>
      </c>
      <c r="S38" s="2" t="s">
        <v>41</v>
      </c>
      <c r="V38" s="2" t="s">
        <v>141</v>
      </c>
      <c r="W38" s="2">
        <v>2</v>
      </c>
    </row>
    <row r="39" spans="1:23" ht="15.75" customHeight="1" x14ac:dyDescent="0.35">
      <c r="A39" s="2" t="s">
        <v>23</v>
      </c>
      <c r="L39" s="2">
        <v>95</v>
      </c>
      <c r="M39" s="2" t="s">
        <v>142</v>
      </c>
      <c r="O39" s="2" t="s">
        <v>143</v>
      </c>
      <c r="P39" s="2" t="str">
        <f ca="1">IFERROR(__xludf.DUMMYFUNCTION("GOOGLETRANSLATE(O39,""en"",""bn"")"),"অশোক কীর্তনিয়া")</f>
        <v>অশোক কীর্তনিয়া</v>
      </c>
      <c r="Q39" s="2" t="s">
        <v>34</v>
      </c>
      <c r="S39" s="2" t="s">
        <v>34</v>
      </c>
      <c r="V39" s="2" t="s">
        <v>144</v>
      </c>
      <c r="W39" s="2">
        <v>2</v>
      </c>
    </row>
    <row r="40" spans="1:23" ht="15.75" customHeight="1" x14ac:dyDescent="0.35">
      <c r="A40" s="2" t="s">
        <v>23</v>
      </c>
      <c r="L40" s="2">
        <v>138</v>
      </c>
      <c r="M40" s="2" t="s">
        <v>145</v>
      </c>
      <c r="O40" s="2" t="s">
        <v>146</v>
      </c>
      <c r="P40" s="2" t="str">
        <f ca="1">IFERROR(__xludf.DUMMYFUNCTION("GOOGLETRANSLATE(O40,""en"",""bn"")"),"পরেশ রাম দাস")</f>
        <v>পরেশ রাম দাস</v>
      </c>
      <c r="Q40" s="2" t="s">
        <v>26</v>
      </c>
      <c r="S40" s="2" t="s">
        <v>26</v>
      </c>
      <c r="V40" s="2" t="s">
        <v>147</v>
      </c>
      <c r="W40" s="2">
        <v>2</v>
      </c>
    </row>
    <row r="41" spans="1:23" ht="15.75" customHeight="1" x14ac:dyDescent="0.35">
      <c r="A41" s="2" t="s">
        <v>23</v>
      </c>
      <c r="L41" s="2">
        <v>196</v>
      </c>
      <c r="M41" s="2" t="s">
        <v>148</v>
      </c>
      <c r="O41" s="2" t="s">
        <v>149</v>
      </c>
      <c r="P41" s="2" t="str">
        <f ca="1">IFERROR(__xludf.DUMMYFUNCTION("GOOGLETRANSLATE(O41,""en"",""bn"")"),"আজাদ সাইফ")</f>
        <v>আজাদ সাইফ</v>
      </c>
      <c r="Q41" s="2" t="s">
        <v>41</v>
      </c>
      <c r="S41" s="2" t="s">
        <v>41</v>
      </c>
      <c r="V41" s="2" t="s">
        <v>150</v>
      </c>
      <c r="W41" s="2">
        <v>2</v>
      </c>
    </row>
    <row r="42" spans="1:23" ht="15.75" customHeight="1" x14ac:dyDescent="0.35">
      <c r="A42" s="2" t="s">
        <v>23</v>
      </c>
      <c r="L42" s="2">
        <v>200</v>
      </c>
      <c r="M42" s="2" t="s">
        <v>151</v>
      </c>
      <c r="O42" s="2" t="s">
        <v>152</v>
      </c>
      <c r="P42" s="2" t="str">
        <f ca="1">IFERROR(__xludf.DUMMYFUNCTION("GOOGLETRANSLATE(O42,""en"",""bn"")"),"কাজলল্লাতা কুন্ডু")</f>
        <v>কাজলল্লাতা কুন্ডু</v>
      </c>
      <c r="Q42" s="2" t="s">
        <v>49</v>
      </c>
      <c r="S42" s="2" t="s">
        <v>49</v>
      </c>
      <c r="V42" s="2" t="s">
        <v>153</v>
      </c>
      <c r="W42" s="2">
        <v>2</v>
      </c>
    </row>
    <row r="43" spans="1:23" ht="15.75" customHeight="1" x14ac:dyDescent="0.35">
      <c r="A43" s="2" t="s">
        <v>23</v>
      </c>
      <c r="L43" s="2">
        <v>101</v>
      </c>
      <c r="M43" s="2" t="s">
        <v>154</v>
      </c>
      <c r="O43" s="2" t="s">
        <v>155</v>
      </c>
      <c r="P43" s="2" t="str">
        <f ca="1">IFERROR(__xludf.DUMMYFUNCTION("GOOGLETRANSLATE(O43,""en"",""bn"")"),"অঙ্গশুমান রায়")</f>
        <v>অঙ্গশুমান রায়</v>
      </c>
      <c r="Q43" s="2" t="s">
        <v>41</v>
      </c>
      <c r="S43" s="2" t="s">
        <v>41</v>
      </c>
      <c r="V43" s="2" t="s">
        <v>156</v>
      </c>
      <c r="W43" s="2">
        <v>2</v>
      </c>
    </row>
    <row r="44" spans="1:23" ht="15.75" customHeight="1" x14ac:dyDescent="0.35">
      <c r="A44" s="2" t="s">
        <v>23</v>
      </c>
      <c r="L44" s="2">
        <v>159</v>
      </c>
      <c r="M44" s="2" t="s">
        <v>157</v>
      </c>
      <c r="O44" s="2" t="s">
        <v>158</v>
      </c>
      <c r="P44" s="2" t="str">
        <f ca="1">IFERROR(__xludf.DUMMYFUNCTION("GOOGLETRANSLATE(O44,""en"",""bn"")"),"অধিকারী সুবেন্দু")</f>
        <v>অধিকারী সুবেন্দু</v>
      </c>
      <c r="Q44" s="2" t="s">
        <v>34</v>
      </c>
      <c r="S44" s="2" t="s">
        <v>34</v>
      </c>
      <c r="V44" s="2" t="s">
        <v>159</v>
      </c>
      <c r="W44" s="2">
        <v>2</v>
      </c>
    </row>
    <row r="45" spans="1:23" ht="15.75" customHeight="1" x14ac:dyDescent="0.35">
      <c r="A45" s="2" t="s">
        <v>23</v>
      </c>
      <c r="L45" s="2">
        <v>125</v>
      </c>
      <c r="M45" s="2" t="s">
        <v>160</v>
      </c>
      <c r="O45" s="2" t="s">
        <v>161</v>
      </c>
      <c r="P45" s="2" t="str">
        <f ca="1">IFERROR(__xludf.DUMMYFUNCTION("GOOGLETRANSLATE(O45,""en"",""bn"")"),"কৌশিক সিদ্ধার্থ")</f>
        <v>কৌশিক সিদ্ধার্থ</v>
      </c>
      <c r="Q45" s="2" t="s">
        <v>34</v>
      </c>
      <c r="S45" s="2" t="s">
        <v>34</v>
      </c>
      <c r="V45" s="2" t="s">
        <v>162</v>
      </c>
      <c r="W45" s="2">
        <v>2</v>
      </c>
    </row>
    <row r="46" spans="1:23" ht="15.75" customHeight="1" x14ac:dyDescent="0.35">
      <c r="A46" s="2" t="s">
        <v>23</v>
      </c>
      <c r="L46" s="2">
        <v>143</v>
      </c>
      <c r="M46" s="2" t="s">
        <v>163</v>
      </c>
      <c r="O46" s="2" t="s">
        <v>164</v>
      </c>
      <c r="P46" s="2" t="str">
        <f ca="1">IFERROR(__xludf.DUMMYFUNCTION("GOOGLETRANSLATE(O46,""en"",""bn"")"),"গৌতম ভট্টাচার্য")</f>
        <v>গৌতম ভট্টাচার্য</v>
      </c>
      <c r="Q46" s="2" t="s">
        <v>41</v>
      </c>
      <c r="S46" s="2" t="s">
        <v>41</v>
      </c>
      <c r="V46" s="2" t="s">
        <v>165</v>
      </c>
      <c r="W46" s="2">
        <v>2</v>
      </c>
    </row>
    <row r="47" spans="1:23" ht="15.75" customHeight="1" x14ac:dyDescent="0.35">
      <c r="A47" s="2" t="s">
        <v>23</v>
      </c>
      <c r="L47" s="2">
        <v>145</v>
      </c>
      <c r="M47" s="2" t="s">
        <v>166</v>
      </c>
      <c r="O47" s="2" t="s">
        <v>167</v>
      </c>
      <c r="P47" s="2" t="str">
        <f ca="1">IFERROR(__xludf.DUMMYFUNCTION("GOOGLETRANSLATE(O47,""en"",""bn"")"),"অগ্নিশ্বর নস্কর")</f>
        <v>অগ্নিশ্বর নস্কর</v>
      </c>
      <c r="Q47" s="2" t="s">
        <v>34</v>
      </c>
      <c r="S47" s="2" t="s">
        <v>34</v>
      </c>
      <c r="V47" s="2" t="s">
        <v>168</v>
      </c>
      <c r="W47" s="2">
        <v>2</v>
      </c>
    </row>
    <row r="48" spans="1:23" ht="15.75" customHeight="1" x14ac:dyDescent="0.35">
      <c r="A48" s="2" t="s">
        <v>23</v>
      </c>
      <c r="L48" s="2">
        <v>102</v>
      </c>
      <c r="M48" s="2" t="s">
        <v>169</v>
      </c>
      <c r="O48" s="2" t="s">
        <v>170</v>
      </c>
      <c r="P48" s="2" t="str">
        <f ca="1">IFERROR(__xludf.DUMMYFUNCTION("GOOGLETRANSLATE(O48,""en"",""bn"")"),"অরিন্দম দে")</f>
        <v>অরিন্দম দে</v>
      </c>
      <c r="Q48" s="2" t="s">
        <v>34</v>
      </c>
      <c r="S48" s="2" t="s">
        <v>34</v>
      </c>
      <c r="V48" s="2" t="s">
        <v>171</v>
      </c>
      <c r="W48" s="2">
        <v>2</v>
      </c>
    </row>
    <row r="49" spans="1:23" ht="15.75" customHeight="1" x14ac:dyDescent="0.35">
      <c r="A49" s="2" t="s">
        <v>23</v>
      </c>
      <c r="L49" s="2">
        <v>192</v>
      </c>
      <c r="M49" s="2" t="s">
        <v>172</v>
      </c>
      <c r="O49" s="2" t="s">
        <v>173</v>
      </c>
      <c r="P49" s="2" t="str">
        <f ca="1">IFERROR(__xludf.DUMMYFUNCTION("GOOGLETRANSLATE(O49,""en"",""bn"")"),"আমজাদ হোসেন এসকে")</f>
        <v>আমজাদ হোসেন এসকে</v>
      </c>
      <c r="Q49" s="2" t="s">
        <v>45</v>
      </c>
      <c r="S49" s="2" t="s">
        <v>45</v>
      </c>
      <c r="V49" s="2" t="s">
        <v>174</v>
      </c>
      <c r="W49" s="2">
        <v>2</v>
      </c>
    </row>
    <row r="50" spans="1:23" ht="15.75" customHeight="1" x14ac:dyDescent="0.35">
      <c r="A50" s="2" t="s">
        <v>23</v>
      </c>
      <c r="L50" s="2">
        <v>80</v>
      </c>
      <c r="M50" s="2" t="s">
        <v>175</v>
      </c>
      <c r="O50" s="2" t="s">
        <v>176</v>
      </c>
      <c r="P50" s="2" t="str">
        <f ca="1">IFERROR(__xludf.DUMMYFUNCTION("GOOGLETRANSLATE(O50,""en"",""bn"")"),"আলিফা আহমেদ")</f>
        <v>আলিফা আহমেদ</v>
      </c>
      <c r="Q50" s="2" t="s">
        <v>26</v>
      </c>
      <c r="S50" s="2" t="s">
        <v>26</v>
      </c>
      <c r="V50" s="2" t="s">
        <v>177</v>
      </c>
      <c r="W50" s="2">
        <v>2</v>
      </c>
    </row>
    <row r="51" spans="1:23" ht="15.75" customHeight="1" x14ac:dyDescent="0.35">
      <c r="A51" s="2" t="s">
        <v>23</v>
      </c>
      <c r="L51" s="2">
        <v>144</v>
      </c>
      <c r="M51" s="2" t="s">
        <v>178</v>
      </c>
      <c r="O51" s="2" t="s">
        <v>179</v>
      </c>
      <c r="P51" s="2" t="str">
        <f ca="1">IFERROR(__xludf.DUMMYFUNCTION("GOOGLETRANSLATE(O51,""en"",""bn"")"),"আবদুর রাজ্জাক মোল্লা")</f>
        <v>আবদুর রাজ্জাক মোল্লা</v>
      </c>
      <c r="Q51" s="2" t="s">
        <v>41</v>
      </c>
      <c r="S51" s="2" t="s">
        <v>41</v>
      </c>
      <c r="V51" s="2" t="s">
        <v>180</v>
      </c>
      <c r="W51" s="2">
        <v>2</v>
      </c>
    </row>
    <row r="52" spans="1:23" ht="15.75" customHeight="1" x14ac:dyDescent="0.35">
      <c r="A52" s="2" t="s">
        <v>23</v>
      </c>
      <c r="L52" s="2">
        <v>150</v>
      </c>
      <c r="M52" s="2" t="s">
        <v>181</v>
      </c>
      <c r="O52" s="2" t="s">
        <v>182</v>
      </c>
      <c r="P52" s="2" t="str">
        <f ca="1">IFERROR(__xludf.DUMMYFUNCTION("GOOGLETRANSLATE(O52,""en"",""bn"")"),"দেবব্রত মজুমদার (মালয়)")</f>
        <v>দেবব্রত মজুমদার (মালয়)</v>
      </c>
      <c r="Q52" s="2" t="s">
        <v>26</v>
      </c>
      <c r="S52" s="2" t="s">
        <v>26</v>
      </c>
      <c r="V52" s="2" t="s">
        <v>183</v>
      </c>
      <c r="W52" s="2">
        <v>2</v>
      </c>
    </row>
    <row r="53" spans="1:23" ht="15.75" customHeight="1" x14ac:dyDescent="0.35">
      <c r="A53" s="2" t="s">
        <v>23</v>
      </c>
      <c r="L53" s="2">
        <v>261</v>
      </c>
      <c r="M53" s="2" t="s">
        <v>184</v>
      </c>
      <c r="O53" s="2" t="s">
        <v>185</v>
      </c>
      <c r="P53" s="2" t="str">
        <f ca="1">IFERROR(__xludf.DUMMYFUNCTION("GOOGLETRANSLATE(O53,""en"",""bn"")"),"পাম্পা মালিক")</f>
        <v>পাম্পা মালিক</v>
      </c>
      <c r="Q53" s="2" t="s">
        <v>41</v>
      </c>
      <c r="S53" s="2" t="s">
        <v>41</v>
      </c>
      <c r="V53" s="2" t="s">
        <v>186</v>
      </c>
      <c r="W53" s="2">
        <v>2</v>
      </c>
    </row>
    <row r="54" spans="1:23" ht="15.75" customHeight="1" x14ac:dyDescent="0.35">
      <c r="A54" s="2" t="s">
        <v>23</v>
      </c>
      <c r="L54" s="2">
        <v>93</v>
      </c>
      <c r="M54" s="2" t="s">
        <v>187</v>
      </c>
      <c r="O54" s="2" t="s">
        <v>188</v>
      </c>
      <c r="P54" s="2" t="str">
        <f ca="1">IFERROR(__xludf.DUMMYFUNCTION("GOOGLETRANSLATE(O54,""en"",""bn"")"),"অসিম কুমার সরকার")</f>
        <v>অসিম কুমার সরকার</v>
      </c>
      <c r="Q54" s="2" t="s">
        <v>34</v>
      </c>
      <c r="S54" s="2" t="s">
        <v>34</v>
      </c>
      <c r="V54" s="2" t="s">
        <v>189</v>
      </c>
      <c r="W54" s="2">
        <v>2</v>
      </c>
    </row>
    <row r="55" spans="1:23" ht="15.75" customHeight="1" x14ac:dyDescent="0.35">
      <c r="A55" s="2" t="s">
        <v>23</v>
      </c>
      <c r="L55" s="2">
        <v>124</v>
      </c>
      <c r="M55" s="2" t="s">
        <v>190</v>
      </c>
      <c r="O55" s="2" t="s">
        <v>191</v>
      </c>
      <c r="P55" s="2" t="str">
        <f ca="1">IFERROR(__xludf.DUMMYFUNCTION("GOOGLETRANSLATE(O55,""en"",""bn"")"),"আবু ইসাহাক গাজী")</f>
        <v>আবু ইসাহাক গাজী</v>
      </c>
      <c r="Q55" s="2" t="s">
        <v>41</v>
      </c>
      <c r="S55" s="2" t="s">
        <v>41</v>
      </c>
      <c r="V55" s="2" t="s">
        <v>192</v>
      </c>
      <c r="W55" s="2">
        <v>2</v>
      </c>
    </row>
    <row r="56" spans="1:23" ht="15.75" customHeight="1" x14ac:dyDescent="0.35">
      <c r="A56" s="2" t="s">
        <v>23</v>
      </c>
      <c r="L56" s="2">
        <v>181</v>
      </c>
      <c r="M56" s="2" t="s">
        <v>193</v>
      </c>
      <c r="O56" s="2" t="s">
        <v>194</v>
      </c>
      <c r="P56" s="2" t="str">
        <f ca="1">IFERROR(__xludf.DUMMYFUNCTION("GOOGLETRANSLATE(O56,""en"",""bn"")"),"অমিত সামান্তা")</f>
        <v>অমিত সামান্তা</v>
      </c>
      <c r="Q56" s="2" t="s">
        <v>34</v>
      </c>
      <c r="S56" s="2" t="s">
        <v>34</v>
      </c>
      <c r="V56" s="2" t="s">
        <v>195</v>
      </c>
      <c r="W56" s="2">
        <v>2</v>
      </c>
    </row>
    <row r="57" spans="1:23" ht="15.75" customHeight="1" x14ac:dyDescent="0.35">
      <c r="A57" s="2" t="s">
        <v>23</v>
      </c>
      <c r="L57" s="2">
        <v>112</v>
      </c>
      <c r="M57" s="2" t="s">
        <v>196</v>
      </c>
      <c r="O57" s="2" t="s">
        <v>197</v>
      </c>
      <c r="P57" s="2" t="str">
        <f ca="1">IFERROR(__xludf.DUMMYFUNCTION("GOOGLETRANSLATE(O57,""en"",""bn"")"),"অরূপ চৌধুরী (পুলক)")</f>
        <v>অরূপ চৌধুরী (পুলক)</v>
      </c>
      <c r="Q57" s="2" t="s">
        <v>34</v>
      </c>
      <c r="S57" s="2" t="s">
        <v>34</v>
      </c>
      <c r="V57" s="2" t="s">
        <v>198</v>
      </c>
      <c r="W57" s="2">
        <v>2</v>
      </c>
    </row>
    <row r="58" spans="1:23" ht="15.75" customHeight="1" x14ac:dyDescent="0.35">
      <c r="A58" s="2" t="s">
        <v>23</v>
      </c>
      <c r="L58" s="2">
        <v>103</v>
      </c>
      <c r="M58" s="2" t="s">
        <v>199</v>
      </c>
      <c r="O58" s="2" t="s">
        <v>200</v>
      </c>
      <c r="P58" s="2" t="str">
        <f ca="1">IFERROR(__xludf.DUMMYFUNCTION("GOOGLETRANSLATE(O58,""en"",""bn"")"),"দেবাশিস রক্ষিত")</f>
        <v>দেবাশিস রক্ষিত</v>
      </c>
      <c r="Q58" s="2" t="s">
        <v>45</v>
      </c>
      <c r="S58" s="2" t="s">
        <v>45</v>
      </c>
      <c r="V58" s="2" t="s">
        <v>201</v>
      </c>
      <c r="W58" s="2">
        <v>2</v>
      </c>
    </row>
    <row r="59" spans="1:23" ht="15.75" customHeight="1" x14ac:dyDescent="0.35">
      <c r="A59" s="2" t="s">
        <v>23</v>
      </c>
      <c r="L59" s="2">
        <v>77</v>
      </c>
      <c r="M59" s="2" t="s">
        <v>202</v>
      </c>
      <c r="O59" s="2" t="s">
        <v>203</v>
      </c>
      <c r="P59" s="2" t="str">
        <f ca="1">IFERROR(__xludf.DUMMYFUNCTION("GOOGLETRANSLATE(O59,""en"",""bn"")"),"জিতেন্দ্রনাথ হালদার")</f>
        <v>জিতেন্দ্রনাথ হালদার</v>
      </c>
      <c r="Q59" s="2" t="s">
        <v>49</v>
      </c>
      <c r="S59" s="2" t="s">
        <v>49</v>
      </c>
      <c r="V59" s="2" t="s">
        <v>204</v>
      </c>
      <c r="W59" s="2">
        <v>2</v>
      </c>
    </row>
    <row r="60" spans="1:23" ht="15.75" customHeight="1" x14ac:dyDescent="0.35">
      <c r="A60" s="2" t="s">
        <v>23</v>
      </c>
      <c r="L60" s="2">
        <v>194</v>
      </c>
      <c r="M60" s="2" t="s">
        <v>205</v>
      </c>
      <c r="O60" s="2" t="s">
        <v>206</v>
      </c>
      <c r="P60" s="2" t="s">
        <v>3059</v>
      </c>
      <c r="Q60" s="2" t="s">
        <v>41</v>
      </c>
      <c r="S60" s="2" t="s">
        <v>41</v>
      </c>
      <c r="V60" s="2" t="s">
        <v>207</v>
      </c>
      <c r="W60" s="2">
        <v>2</v>
      </c>
    </row>
    <row r="61" spans="1:23" ht="15.75" customHeight="1" x14ac:dyDescent="0.35">
      <c r="A61" s="2" t="s">
        <v>23</v>
      </c>
      <c r="L61" s="2">
        <v>123</v>
      </c>
      <c r="M61" s="2" t="s">
        <v>208</v>
      </c>
      <c r="O61" s="2" t="s">
        <v>209</v>
      </c>
      <c r="P61" s="2" t="str">
        <f ca="1">IFERROR(__xludf.DUMMYFUNCTION("GOOGLETRANSLATE(O61,""en"",""bn"")"),"ঝর্ণা সর্দার")</f>
        <v>ঝর্ণা সর্দার</v>
      </c>
      <c r="Q61" s="2" t="s">
        <v>26</v>
      </c>
      <c r="S61" s="2" t="s">
        <v>26</v>
      </c>
      <c r="V61" s="2" t="s">
        <v>210</v>
      </c>
      <c r="W61" s="2">
        <v>2</v>
      </c>
    </row>
    <row r="62" spans="1:23" ht="15.75" customHeight="1" x14ac:dyDescent="0.35">
      <c r="A62" s="2" t="s">
        <v>23</v>
      </c>
      <c r="L62" s="2">
        <v>91</v>
      </c>
      <c r="M62" s="2" t="s">
        <v>211</v>
      </c>
      <c r="O62" s="2" t="s">
        <v>212</v>
      </c>
      <c r="P62" s="2" t="str">
        <f ca="1">IFERROR(__xludf.DUMMYFUNCTION("GOOGLETRANSLATE(O62,""en"",""bn"")"),"নারায়ণ দাস গুপ্ত")</f>
        <v>নারায়ণ দাস গুপ্ত</v>
      </c>
      <c r="Q62" s="2" t="s">
        <v>45</v>
      </c>
      <c r="S62" s="2" t="s">
        <v>45</v>
      </c>
      <c r="V62" s="2" t="s">
        <v>213</v>
      </c>
      <c r="W62" s="2">
        <v>2</v>
      </c>
    </row>
    <row r="63" spans="1:23" ht="15.75" customHeight="1" x14ac:dyDescent="0.35">
      <c r="A63" s="2" t="s">
        <v>23</v>
      </c>
      <c r="L63" s="2">
        <v>266</v>
      </c>
      <c r="M63" s="2" t="s">
        <v>214</v>
      </c>
      <c r="O63" s="2" t="s">
        <v>215</v>
      </c>
      <c r="P63" s="2" t="str">
        <f ca="1">IFERROR(__xludf.DUMMYFUNCTION("GOOGLETRANSLATE(O63,""en"",""bn"")"),"নিসিথ কুমার মালিক")</f>
        <v>নিসিথ কুমার মালিক</v>
      </c>
      <c r="Q63" s="2" t="s">
        <v>26</v>
      </c>
      <c r="S63" s="2" t="s">
        <v>26</v>
      </c>
      <c r="V63" s="2" t="s">
        <v>216</v>
      </c>
      <c r="W63" s="2">
        <v>2</v>
      </c>
    </row>
    <row r="64" spans="1:23" ht="15.75" customHeight="1" x14ac:dyDescent="0.35">
      <c r="A64" s="2" t="s">
        <v>23</v>
      </c>
      <c r="L64" s="2">
        <v>81</v>
      </c>
      <c r="M64" s="2" t="s">
        <v>217</v>
      </c>
      <c r="O64" s="2" t="s">
        <v>218</v>
      </c>
      <c r="P64" s="2" t="str">
        <f ca="1">IFERROR(__xludf.DUMMYFUNCTION("GOOGLETRANSLATE(O64,""en"",""bn"")"),"কল্লোল খান")</f>
        <v>কল্লোল খান</v>
      </c>
      <c r="Q64" s="2" t="s">
        <v>26</v>
      </c>
      <c r="S64" s="2" t="s">
        <v>26</v>
      </c>
      <c r="V64" s="2" t="s">
        <v>219</v>
      </c>
      <c r="W64" s="2">
        <v>2</v>
      </c>
    </row>
    <row r="65" spans="1:23" ht="15.75" customHeight="1" x14ac:dyDescent="0.35">
      <c r="A65" s="2" t="s">
        <v>23</v>
      </c>
      <c r="L65" s="2">
        <v>132</v>
      </c>
      <c r="M65" s="2" t="s">
        <v>220</v>
      </c>
      <c r="O65" s="2" t="s">
        <v>221</v>
      </c>
      <c r="P65" s="2" t="str">
        <f ca="1">IFERROR(__xludf.DUMMYFUNCTION("GOOGLETRANSLATE(O65,""en"",""bn"")"),"অনুকূল পত্র")</f>
        <v>অনুকূল পত্র</v>
      </c>
      <c r="Q65" s="2" t="s">
        <v>49</v>
      </c>
      <c r="S65" s="2" t="s">
        <v>49</v>
      </c>
      <c r="V65" s="2" t="s">
        <v>222</v>
      </c>
      <c r="W65" s="2">
        <v>2</v>
      </c>
    </row>
    <row r="66" spans="1:23" ht="15.75" customHeight="1" x14ac:dyDescent="0.35">
      <c r="A66" s="2" t="s">
        <v>23</v>
      </c>
      <c r="L66" s="2">
        <v>189</v>
      </c>
      <c r="M66" s="2" t="s">
        <v>223</v>
      </c>
      <c r="O66" s="2" t="s">
        <v>224</v>
      </c>
      <c r="P66" s="2" t="str">
        <f ca="1">IFERROR(__xludf.DUMMYFUNCTION("GOOGLETRANSLATE(O66,""en"",""bn"")"),"ইন্দ্রনীল সেন")</f>
        <v>ইন্দ্রনীল সেন</v>
      </c>
      <c r="Q66" s="2" t="s">
        <v>26</v>
      </c>
      <c r="S66" s="2" t="s">
        <v>26</v>
      </c>
      <c r="V66" s="2" t="s">
        <v>225</v>
      </c>
      <c r="W66" s="2">
        <v>2</v>
      </c>
    </row>
    <row r="67" spans="1:23" ht="15.75" customHeight="1" x14ac:dyDescent="0.35">
      <c r="A67" s="2" t="s">
        <v>23</v>
      </c>
      <c r="L67" s="2">
        <v>178</v>
      </c>
      <c r="M67" s="2" t="s">
        <v>226</v>
      </c>
      <c r="O67" s="2" t="s">
        <v>227</v>
      </c>
      <c r="P67" s="2" t="str">
        <f ca="1">IFERROR(__xludf.DUMMYFUNCTION("GOOGLETRANSLATE(O67,""en"",""bn"")"),"আমিরুল ইসলাম খান")</f>
        <v>আমিরুল ইসলাম খান</v>
      </c>
      <c r="Q67" s="2" t="s">
        <v>30</v>
      </c>
      <c r="S67" s="2" t="s">
        <v>30</v>
      </c>
      <c r="V67" s="2" t="s">
        <v>228</v>
      </c>
      <c r="W67" s="2">
        <v>2</v>
      </c>
    </row>
    <row r="68" spans="1:23" ht="15.75" customHeight="1" x14ac:dyDescent="0.35">
      <c r="A68" s="2" t="s">
        <v>23</v>
      </c>
      <c r="L68" s="2">
        <v>96</v>
      </c>
      <c r="M68" s="2" t="s">
        <v>229</v>
      </c>
      <c r="O68" s="2" t="s">
        <v>230</v>
      </c>
      <c r="P68" s="2" t="str">
        <f ca="1">IFERROR(__xludf.DUMMYFUNCTION("GOOGLETRANSLATE(O68,""en"",""bn"")"),"আশীষ কুমার সরকার")</f>
        <v>আশীষ কুমার সরকার</v>
      </c>
      <c r="Q68" s="2" t="s">
        <v>45</v>
      </c>
      <c r="S68" s="2" t="s">
        <v>45</v>
      </c>
      <c r="V68" s="2" t="s">
        <v>231</v>
      </c>
      <c r="W68" s="2">
        <v>2</v>
      </c>
    </row>
    <row r="69" spans="1:23" ht="15.75" customHeight="1" x14ac:dyDescent="0.35">
      <c r="A69" s="2" t="s">
        <v>23</v>
      </c>
      <c r="L69" s="2">
        <v>122</v>
      </c>
      <c r="M69" s="2" t="s">
        <v>232</v>
      </c>
      <c r="O69" s="2" t="s">
        <v>233</v>
      </c>
      <c r="P69" s="2" t="str">
        <f ca="1">IFERROR(__xludf.DUMMYFUNCTION("GOOGLETRANSLATE(O69,""en"",""bn"")"),"উষা রানী মন্ডল")</f>
        <v>উষা রানী মন্ডল</v>
      </c>
      <c r="Q69" s="2" t="s">
        <v>26</v>
      </c>
      <c r="S69" s="2" t="s">
        <v>26</v>
      </c>
      <c r="V69" s="2" t="s">
        <v>234</v>
      </c>
      <c r="W69" s="2">
        <v>2</v>
      </c>
    </row>
    <row r="70" spans="1:23" ht="15.75" customHeight="1" x14ac:dyDescent="0.35">
      <c r="A70" s="2" t="s">
        <v>23</v>
      </c>
      <c r="L70" s="2">
        <v>195</v>
      </c>
      <c r="M70" s="2" t="s">
        <v>235</v>
      </c>
      <c r="O70" s="2" t="s">
        <v>236</v>
      </c>
      <c r="P70" s="2" t="str">
        <f ca="1">IFERROR(__xludf.DUMMYFUNCTION("GOOGLETRANSLATE(O70,""en"",""bn"")"),"প্রসেনজিৎ ব্যাগ")</f>
        <v>প্রসেনজিৎ ব্যাগ</v>
      </c>
      <c r="Q70" s="2" t="s">
        <v>34</v>
      </c>
      <c r="S70" s="2" t="s">
        <v>34</v>
      </c>
      <c r="V70" s="2" t="s">
        <v>237</v>
      </c>
      <c r="W70" s="2">
        <v>2</v>
      </c>
    </row>
    <row r="71" spans="1:23" ht="15.75" customHeight="1" x14ac:dyDescent="0.35">
      <c r="A71" s="2" t="s">
        <v>23</v>
      </c>
      <c r="L71" s="2">
        <v>139</v>
      </c>
      <c r="M71" s="2" t="s">
        <v>238</v>
      </c>
      <c r="O71" s="2" t="s">
        <v>239</v>
      </c>
      <c r="P71" s="2" t="str">
        <f ca="1">IFERROR(__xludf.DUMMYFUNCTION("GOOGLETRANSLATE(O71,""en"",""bn"")"),"আশিম সানপুই")</f>
        <v>আশিম সানপুই</v>
      </c>
      <c r="Q71" s="2" t="s">
        <v>34</v>
      </c>
      <c r="S71" s="2" t="s">
        <v>34</v>
      </c>
      <c r="V71" s="2" t="s">
        <v>240</v>
      </c>
      <c r="W71" s="2">
        <v>2</v>
      </c>
    </row>
    <row r="72" spans="1:23" ht="15.75" customHeight="1" x14ac:dyDescent="0.35">
      <c r="A72" s="2" t="s">
        <v>23</v>
      </c>
      <c r="L72" s="2">
        <v>185</v>
      </c>
      <c r="M72" s="2" t="s">
        <v>241</v>
      </c>
      <c r="O72" s="2" t="s">
        <v>242</v>
      </c>
      <c r="P72" s="2" t="str">
        <f ca="1">IFERROR(__xludf.DUMMYFUNCTION("GOOGLETRANSLATE(O72,""en"",""bn"")"),"দীপঞ্জন চক্রবর্তী")</f>
        <v>দীপঞ্জন চক্রবর্তী</v>
      </c>
      <c r="Q72" s="2" t="s">
        <v>34</v>
      </c>
      <c r="S72" s="2" t="s">
        <v>34</v>
      </c>
      <c r="V72" s="2" t="s">
        <v>243</v>
      </c>
      <c r="W72" s="2">
        <v>2</v>
      </c>
    </row>
    <row r="73" spans="1:23" ht="15.75" customHeight="1" x14ac:dyDescent="0.35">
      <c r="A73" s="2" t="s">
        <v>23</v>
      </c>
      <c r="L73" s="2">
        <v>199</v>
      </c>
      <c r="M73" s="2" t="s">
        <v>244</v>
      </c>
      <c r="O73" s="2" t="s">
        <v>245</v>
      </c>
      <c r="P73" s="2" t="str">
        <f ca="1">IFERROR(__xludf.DUMMYFUNCTION("GOOGLETRANSLATE(O73,""en"",""bn"")"),"পার্থ হাজারী")</f>
        <v>পার্থ হাজারী</v>
      </c>
      <c r="Q73" s="2" t="s">
        <v>26</v>
      </c>
      <c r="S73" s="2" t="s">
        <v>26</v>
      </c>
      <c r="V73" s="2" t="s">
        <v>246</v>
      </c>
      <c r="W73" s="2">
        <v>2</v>
      </c>
    </row>
    <row r="74" spans="1:23" ht="15.75" customHeight="1" x14ac:dyDescent="0.35">
      <c r="A74" s="2" t="s">
        <v>23</v>
      </c>
      <c r="L74" s="2">
        <v>166</v>
      </c>
      <c r="M74" s="2" t="s">
        <v>247</v>
      </c>
      <c r="O74" s="2" t="s">
        <v>248</v>
      </c>
      <c r="P74" s="2" t="str">
        <f ca="1">IFERROR(__xludf.DUMMYFUNCTION("GOOGLETRANSLATE(O74,""en"",""bn"")"),"ঝুমা দাস")</f>
        <v>ঝুমা দাস</v>
      </c>
      <c r="Q74" s="2" t="s">
        <v>30</v>
      </c>
      <c r="S74" s="2" t="s">
        <v>30</v>
      </c>
      <c r="V74" s="2" t="s">
        <v>249</v>
      </c>
      <c r="W74" s="2">
        <v>2</v>
      </c>
    </row>
    <row r="75" spans="1:23" ht="15.75" customHeight="1" x14ac:dyDescent="0.35">
      <c r="A75" s="2" t="s">
        <v>23</v>
      </c>
      <c r="L75" s="2">
        <v>186</v>
      </c>
      <c r="M75" s="2" t="s">
        <v>250</v>
      </c>
      <c r="O75" s="2" t="s">
        <v>251</v>
      </c>
      <c r="P75" s="2" t="str">
        <f ca="1">IFERROR(__xludf.DUMMYFUNCTION("GOOGLETRANSLATE(O75,""en"",""bn"")"),"তন্ময় ঘোষ")</f>
        <v>তন্ময় ঘোষ</v>
      </c>
      <c r="Q75" s="2" t="s">
        <v>26</v>
      </c>
      <c r="S75" s="2" t="s">
        <v>26</v>
      </c>
      <c r="V75" s="2" t="s">
        <v>252</v>
      </c>
      <c r="W75" s="2">
        <v>2</v>
      </c>
    </row>
    <row r="76" spans="1:23" ht="15.75" customHeight="1" x14ac:dyDescent="0.35">
      <c r="A76" s="2" t="s">
        <v>23</v>
      </c>
      <c r="L76" s="2">
        <v>94</v>
      </c>
      <c r="M76" s="2" t="s">
        <v>253</v>
      </c>
      <c r="O76" s="2" t="s">
        <v>254</v>
      </c>
      <c r="P76" s="2" t="str">
        <f ca="1">IFERROR(__xludf.DUMMYFUNCTION("GOOGLETRANSLATE(O76,""en"",""bn"")"),"কীর্তনীয় প্রবীর (বাপি)")</f>
        <v>কীর্তনীয় প্রবীর (বাপি)</v>
      </c>
      <c r="Q76" s="2" t="s">
        <v>41</v>
      </c>
      <c r="S76" s="2" t="s">
        <v>41</v>
      </c>
      <c r="V76" s="2" t="s">
        <v>255</v>
      </c>
      <c r="W76" s="2">
        <v>2</v>
      </c>
    </row>
    <row r="77" spans="1:23" ht="15.75" customHeight="1" x14ac:dyDescent="0.35">
      <c r="A77" s="2" t="s">
        <v>23</v>
      </c>
      <c r="L77" s="2">
        <v>174</v>
      </c>
      <c r="M77" s="2" t="s">
        <v>256</v>
      </c>
      <c r="O77" s="2" t="s">
        <v>257</v>
      </c>
      <c r="P77" s="2" t="str">
        <f ca="1">IFERROR(__xludf.DUMMYFUNCTION("GOOGLETRANSLATE(O77,""en"",""bn"")"),"প্রিয়া পল")</f>
        <v>প্রিয়া পল</v>
      </c>
      <c r="Q77" s="2" t="s">
        <v>26</v>
      </c>
      <c r="S77" s="2" t="s">
        <v>26</v>
      </c>
      <c r="V77" s="2" t="s">
        <v>258</v>
      </c>
      <c r="W77" s="2">
        <v>2</v>
      </c>
    </row>
    <row r="78" spans="1:23" ht="15.75" customHeight="1" x14ac:dyDescent="0.35">
      <c r="A78" s="2" t="s">
        <v>23</v>
      </c>
      <c r="L78" s="2">
        <v>110</v>
      </c>
      <c r="M78" s="2" t="s">
        <v>259</v>
      </c>
      <c r="O78" s="2" t="s">
        <v>260</v>
      </c>
      <c r="P78" s="2" t="str">
        <f ca="1">IFERROR(__xludf.DUMMYFUNCTION("GOOGLETRANSLATE(O78,""en"",""bn"")"),"চন্দ্রিমা ভট্টাচার্য")</f>
        <v>চন্দ্রিমা ভট্টাচার্য</v>
      </c>
      <c r="Q78" s="2" t="s">
        <v>26</v>
      </c>
      <c r="S78" s="2" t="s">
        <v>26</v>
      </c>
      <c r="V78" s="2" t="s">
        <v>261</v>
      </c>
      <c r="W78" s="2">
        <v>2</v>
      </c>
    </row>
    <row r="79" spans="1:23" ht="15.75" customHeight="1" x14ac:dyDescent="0.35">
      <c r="A79" s="2" t="s">
        <v>23</v>
      </c>
      <c r="L79" s="2">
        <v>155</v>
      </c>
      <c r="M79" s="2" t="s">
        <v>262</v>
      </c>
      <c r="O79" s="2" t="s">
        <v>263</v>
      </c>
      <c r="P79" s="2" t="str">
        <f ca="1">IFERROR(__xludf.DUMMYFUNCTION("GOOGLETRANSLATE(O79,""en"",""bn"")"),"আব্দুল হান্নান এসকে")</f>
        <v>আব্দুল হান্নান এসকে</v>
      </c>
      <c r="Q79" s="2" t="s">
        <v>41</v>
      </c>
      <c r="S79" s="2" t="s">
        <v>41</v>
      </c>
      <c r="V79" s="2" t="s">
        <v>264</v>
      </c>
      <c r="W79" s="2">
        <v>2</v>
      </c>
    </row>
    <row r="80" spans="1:23" ht="15.75" customHeight="1" x14ac:dyDescent="0.35">
      <c r="A80" s="2" t="s">
        <v>23</v>
      </c>
      <c r="L80" s="2">
        <v>147</v>
      </c>
      <c r="M80" s="2" t="s">
        <v>265</v>
      </c>
      <c r="O80" s="2" t="s">
        <v>266</v>
      </c>
      <c r="P80" s="2" t="str">
        <f ca="1">IFERROR(__xludf.DUMMYFUNCTION("GOOGLETRANSLATE(O80,""en"",""bn"")"),"অরুন্ধুতি মৈত্র (মনোরম)")</f>
        <v>অরুন্ধুতি মৈত্র (মনোরম)</v>
      </c>
      <c r="Q80" s="2" t="s">
        <v>26</v>
      </c>
      <c r="S80" s="2" t="s">
        <v>26</v>
      </c>
      <c r="V80" s="2" t="s">
        <v>267</v>
      </c>
      <c r="W80" s="2">
        <v>2</v>
      </c>
    </row>
    <row r="81" spans="1:23" ht="15.75" customHeight="1" x14ac:dyDescent="0.35">
      <c r="A81" s="2" t="s">
        <v>23</v>
      </c>
      <c r="L81" s="2">
        <v>99</v>
      </c>
      <c r="M81" s="2" t="s">
        <v>268</v>
      </c>
      <c r="O81" s="2" t="s">
        <v>269</v>
      </c>
      <c r="P81" s="2" t="str">
        <f ca="1">IFERROR(__xludf.DUMMYFUNCTION("GOOGLETRANSLATE(O81,""en"",""bn"")"),"আবদুর রহিম কাজী")</f>
        <v>আবদুর রহিম কাজী</v>
      </c>
      <c r="Q81" s="2" t="s">
        <v>41</v>
      </c>
      <c r="S81" s="2" t="s">
        <v>41</v>
      </c>
      <c r="V81" s="2" t="s">
        <v>270</v>
      </c>
      <c r="W81" s="2">
        <v>2</v>
      </c>
    </row>
    <row r="82" spans="1:23" ht="15.75" customHeight="1" x14ac:dyDescent="0.35">
      <c r="A82" s="2" t="s">
        <v>23</v>
      </c>
      <c r="L82" s="2">
        <v>191</v>
      </c>
      <c r="M82" s="2" t="s">
        <v>271</v>
      </c>
      <c r="O82" s="2" t="s">
        <v>272</v>
      </c>
      <c r="P82" s="2" t="str">
        <f ca="1">IFERROR(__xludf.DUMMYFUNCTION("GOOGLETRANSLATE(O82,""en"",""bn"")"),"অশোক বিশ্বাস")</f>
        <v>অশোক বিশ্বাস</v>
      </c>
      <c r="Q82" s="2" t="s">
        <v>41</v>
      </c>
      <c r="S82" s="2" t="s">
        <v>41</v>
      </c>
      <c r="V82" s="2" t="s">
        <v>273</v>
      </c>
      <c r="W82" s="2">
        <v>2</v>
      </c>
    </row>
    <row r="83" spans="1:23" ht="15.75" customHeight="1" x14ac:dyDescent="0.35">
      <c r="A83" s="2" t="s">
        <v>23</v>
      </c>
      <c r="L83" s="2">
        <v>134</v>
      </c>
      <c r="M83" s="2" t="s">
        <v>274</v>
      </c>
      <c r="O83" s="2" t="s">
        <v>275</v>
      </c>
      <c r="P83" s="2" t="str">
        <f ca="1">IFERROR(__xludf.DUMMYFUNCTION("GOOGLETRANSLATE(O83,""en"",""bn"")"),"আশিশ কুমার মন্ডল")</f>
        <v>আশিশ কুমার মন্ডল</v>
      </c>
      <c r="Q83" s="2" t="s">
        <v>41</v>
      </c>
      <c r="S83" s="2" t="s">
        <v>41</v>
      </c>
      <c r="V83" s="2" t="s">
        <v>276</v>
      </c>
      <c r="W83" s="2">
        <v>2</v>
      </c>
    </row>
    <row r="84" spans="1:23" ht="15.75" customHeight="1" x14ac:dyDescent="0.35">
      <c r="A84" s="2" t="s">
        <v>23</v>
      </c>
      <c r="L84" s="2">
        <v>117</v>
      </c>
      <c r="M84" s="2" t="s">
        <v>277</v>
      </c>
      <c r="O84" s="2" t="s">
        <v>278</v>
      </c>
      <c r="P84" s="2" t="str">
        <f ca="1">IFERROR(__xludf.DUMMYFUNCTION("GOOGLETRANSLATE(O84,""en"",""bn"")"),"অদিতি মুনশি")</f>
        <v>অদিতি মুনশি</v>
      </c>
      <c r="Q84" s="2" t="s">
        <v>26</v>
      </c>
      <c r="S84" s="2" t="s">
        <v>26</v>
      </c>
      <c r="V84" s="2" t="s">
        <v>279</v>
      </c>
      <c r="W84" s="2">
        <v>2</v>
      </c>
    </row>
    <row r="85" spans="1:23" ht="15.75" customHeight="1" x14ac:dyDescent="0.35">
      <c r="A85" s="2" t="s">
        <v>23</v>
      </c>
      <c r="L85" s="2">
        <v>90</v>
      </c>
      <c r="M85" s="2" t="s">
        <v>280</v>
      </c>
      <c r="O85" s="2" t="s">
        <v>281</v>
      </c>
      <c r="P85" s="2" t="str">
        <f ca="1">IFERROR(__xludf.DUMMYFUNCTION("GOOGLETRANSLATE(O85,""en"",""bn"")"),"অরিন্দম বিশ্বাস")</f>
        <v>অরিন্দম বিশ্বাস</v>
      </c>
      <c r="Q85" s="2" t="s">
        <v>45</v>
      </c>
      <c r="S85" s="2" t="s">
        <v>45</v>
      </c>
      <c r="V85" s="2" t="s">
        <v>282</v>
      </c>
      <c r="W85" s="2">
        <v>2</v>
      </c>
    </row>
    <row r="86" spans="1:23" ht="15.75" customHeight="1" x14ac:dyDescent="0.35">
      <c r="A86" s="2" t="s">
        <v>23</v>
      </c>
      <c r="L86" s="2">
        <v>106</v>
      </c>
      <c r="M86" s="2" t="s">
        <v>283</v>
      </c>
      <c r="O86" s="2" t="s">
        <v>284</v>
      </c>
      <c r="P86" s="2" t="str">
        <f ca="1">IFERROR(__xludf.DUMMYFUNCTION("GOOGLETRANSLATE(O86,""en"",""bn"")"),"কানিকা পাত্র")</f>
        <v>কানিকা পাত্র</v>
      </c>
      <c r="Q86" s="2" t="s">
        <v>49</v>
      </c>
      <c r="S86" s="2" t="s">
        <v>49</v>
      </c>
      <c r="V86" s="2" t="s">
        <v>285</v>
      </c>
      <c r="W86" s="2">
        <v>2</v>
      </c>
    </row>
    <row r="87" spans="1:23" ht="15.75" customHeight="1" x14ac:dyDescent="0.35">
      <c r="A87" s="2" t="s">
        <v>23</v>
      </c>
      <c r="L87" s="2">
        <v>268</v>
      </c>
      <c r="M87" s="2" t="s">
        <v>286</v>
      </c>
      <c r="O87" s="2" t="s">
        <v>287</v>
      </c>
      <c r="P87" s="2" t="str">
        <f ca="1">IFERROR(__xludf.DUMMYFUNCTION("GOOGLETRANSLATE(O87,""en"",""bn"")"),"প্রাণ কৃষ্ণ তপদার")</f>
        <v>প্রাণ কৃষ্ণ তপদার</v>
      </c>
      <c r="Q87" s="2" t="s">
        <v>34</v>
      </c>
      <c r="S87" s="2" t="s">
        <v>34</v>
      </c>
      <c r="V87" s="2" t="s">
        <v>288</v>
      </c>
      <c r="W87" s="2">
        <v>2</v>
      </c>
    </row>
    <row r="88" spans="1:23" ht="15.75" customHeight="1" x14ac:dyDescent="0.35">
      <c r="A88" s="2" t="s">
        <v>23</v>
      </c>
      <c r="L88" s="2">
        <v>127</v>
      </c>
      <c r="M88" s="2" t="s">
        <v>289</v>
      </c>
      <c r="O88" s="2" t="s">
        <v>290</v>
      </c>
      <c r="P88" s="2" t="str">
        <f ca="1">IFERROR(__xludf.DUMMYFUNCTION("GOOGLETRANSLATE(O88,""en"",""bn"")"),"বিকর্ণ নস্কর")</f>
        <v>বিকর্ণ নস্কর</v>
      </c>
      <c r="Q88" s="2" t="s">
        <v>34</v>
      </c>
      <c r="S88" s="2" t="s">
        <v>34</v>
      </c>
      <c r="V88" s="2" t="s">
        <v>291</v>
      </c>
      <c r="W88" s="2">
        <v>2</v>
      </c>
    </row>
    <row r="89" spans="1:23" ht="15.75" customHeight="1" x14ac:dyDescent="0.35">
      <c r="A89" s="2" t="s">
        <v>23</v>
      </c>
      <c r="L89" s="2">
        <v>260</v>
      </c>
      <c r="M89" s="2" t="s">
        <v>292</v>
      </c>
      <c r="O89" s="2" t="s">
        <v>293</v>
      </c>
      <c r="P89" s="2" t="str">
        <f ca="1">IFERROR(__xludf.DUMMYFUNCTION("GOOGLETRANSLATE(O89,""en"",""bn"")"),"খোকন দাস")</f>
        <v>খোকন দাস</v>
      </c>
      <c r="Q89" s="2" t="s">
        <v>26</v>
      </c>
      <c r="S89" s="2" t="s">
        <v>26</v>
      </c>
      <c r="V89" s="2" t="s">
        <v>294</v>
      </c>
      <c r="W89" s="2">
        <v>2</v>
      </c>
    </row>
    <row r="90" spans="1:23" ht="15.75" customHeight="1" x14ac:dyDescent="0.35">
      <c r="A90" s="2" t="s">
        <v>23</v>
      </c>
      <c r="L90" s="2">
        <v>183</v>
      </c>
      <c r="M90" s="2" t="s">
        <v>295</v>
      </c>
      <c r="O90" s="2" t="s">
        <v>79</v>
      </c>
      <c r="P90" s="2" t="str">
        <f ca="1">IFERROR(__xludf.DUMMYFUNCTION("GOOGLETRANSLATE(O90,""en"",""bn"")"),"অনুপম ঘোষ")</f>
        <v>অনুপম ঘোষ</v>
      </c>
      <c r="Q90" s="2" t="s">
        <v>34</v>
      </c>
      <c r="S90" s="2" t="s">
        <v>34</v>
      </c>
      <c r="V90" s="2" t="s">
        <v>296</v>
      </c>
      <c r="W90" s="2">
        <v>2</v>
      </c>
    </row>
    <row r="91" spans="1:23" ht="15.75" customHeight="1" x14ac:dyDescent="0.35">
      <c r="A91" s="2" t="s">
        <v>23</v>
      </c>
      <c r="L91" s="2">
        <v>84</v>
      </c>
      <c r="M91" s="2" t="s">
        <v>297</v>
      </c>
      <c r="O91" s="2" t="s">
        <v>298</v>
      </c>
      <c r="P91" s="2" t="str">
        <f ca="1">IFERROR(__xludf.DUMMYFUNCTION("GOOGLETRANSLATE(O91,""en"",""bn"")"),"তাপস দাস")</f>
        <v>তাপস দাস</v>
      </c>
      <c r="Q91" s="2" t="s">
        <v>49</v>
      </c>
      <c r="S91" s="2" t="s">
        <v>49</v>
      </c>
      <c r="V91" s="2" t="s">
        <v>299</v>
      </c>
      <c r="W91" s="2">
        <v>2</v>
      </c>
    </row>
    <row r="92" spans="1:23" ht="15.75" customHeight="1" x14ac:dyDescent="0.35">
      <c r="A92" s="2" t="s">
        <v>23</v>
      </c>
      <c r="L92" s="2">
        <v>190</v>
      </c>
      <c r="M92" s="2" t="s">
        <v>300</v>
      </c>
      <c r="O92" s="2" t="s">
        <v>301</v>
      </c>
      <c r="P92" s="2" t="str">
        <f ca="1">IFERROR(__xludf.DUMMYFUNCTION("GOOGLETRANSLATE(O92,""en"",""bn"")"),"দেবাংশু ভট্টাচার্য")</f>
        <v>দেবাংশু ভট্টাচার্য</v>
      </c>
      <c r="Q92" s="2" t="s">
        <v>26</v>
      </c>
      <c r="S92" s="2" t="s">
        <v>26</v>
      </c>
      <c r="V92" s="2" t="s">
        <v>302</v>
      </c>
      <c r="W92" s="2">
        <v>2</v>
      </c>
    </row>
    <row r="93" spans="1:23" ht="15.75" customHeight="1" x14ac:dyDescent="0.35">
      <c r="A93" s="2" t="s">
        <v>23</v>
      </c>
      <c r="L93" s="2">
        <v>114</v>
      </c>
      <c r="M93" s="2" t="s">
        <v>303</v>
      </c>
      <c r="O93" s="2" t="s">
        <v>304</v>
      </c>
      <c r="P93" s="2" t="str">
        <f ca="1">IFERROR(__xludf.DUMMYFUNCTION("GOOGLETRANSLATE(O93,""en"",""bn"")"),"অরিজিৎ বক্সী")</f>
        <v>অরিজিৎ বক্সী</v>
      </c>
      <c r="Q93" s="2" t="s">
        <v>34</v>
      </c>
      <c r="S93" s="2" t="s">
        <v>34</v>
      </c>
      <c r="V93" s="2" t="s">
        <v>305</v>
      </c>
      <c r="W93" s="2">
        <v>2</v>
      </c>
    </row>
    <row r="94" spans="1:23" ht="15.75" customHeight="1" x14ac:dyDescent="0.35">
      <c r="A94" s="2" t="s">
        <v>23</v>
      </c>
      <c r="L94" s="2">
        <v>88</v>
      </c>
      <c r="M94" s="2" t="s">
        <v>306</v>
      </c>
      <c r="O94" s="2" t="s">
        <v>307</v>
      </c>
      <c r="P94" s="2" t="str">
        <f ca="1">IFERROR(__xludf.DUMMYFUNCTION("GOOGLETRANSLATE(O94,""en"",""bn"")"),"অর্চনা বিশ্বাস")</f>
        <v>অর্চনা বিশ্বাস</v>
      </c>
      <c r="Q94" s="2" t="s">
        <v>45</v>
      </c>
      <c r="S94" s="2" t="s">
        <v>45</v>
      </c>
      <c r="V94" s="2" t="s">
        <v>308</v>
      </c>
      <c r="W94" s="2">
        <v>2</v>
      </c>
    </row>
    <row r="95" spans="1:23" ht="15.75" customHeight="1" x14ac:dyDescent="0.35">
      <c r="A95" s="2" t="s">
        <v>23</v>
      </c>
      <c r="L95" s="2">
        <v>120</v>
      </c>
      <c r="M95" s="2" t="s">
        <v>309</v>
      </c>
      <c r="O95" s="2" t="s">
        <v>310</v>
      </c>
      <c r="P95" s="2" t="str">
        <f ca="1">IFERROR(__xludf.DUMMYFUNCTION("GOOGLETRANSLATE(O95,""en"",""bn"")"),"আনিসুর রহমান বিদেশ")</f>
        <v>আনিসুর রহমান বিদেশ</v>
      </c>
      <c r="Q95" s="2" t="s">
        <v>26</v>
      </c>
      <c r="S95" s="2" t="s">
        <v>26</v>
      </c>
      <c r="V95" s="2" t="s">
        <v>311</v>
      </c>
      <c r="W95" s="2">
        <v>2</v>
      </c>
    </row>
    <row r="96" spans="1:23" ht="15.75" customHeight="1" x14ac:dyDescent="0.35">
      <c r="A96" s="2" t="s">
        <v>23</v>
      </c>
      <c r="L96" s="2">
        <v>202</v>
      </c>
      <c r="M96" s="2" t="s">
        <v>312</v>
      </c>
      <c r="O96" s="2" t="s">
        <v>313</v>
      </c>
      <c r="P96" s="2" t="str">
        <f ca="1">IFERROR(__xludf.DUMMYFUNCTION("GOOGLETRANSLATE(O96,""en"",""bn"")"),"চায়না খান")</f>
        <v>চায়না খান</v>
      </c>
      <c r="Q96" s="2" t="s">
        <v>49</v>
      </c>
      <c r="S96" s="2" t="s">
        <v>49</v>
      </c>
      <c r="V96" s="2" t="s">
        <v>314</v>
      </c>
      <c r="W96" s="2">
        <v>2</v>
      </c>
    </row>
    <row r="97" spans="1:23" ht="15.75" customHeight="1" x14ac:dyDescent="0.35">
      <c r="A97" s="2" t="s">
        <v>23</v>
      </c>
      <c r="L97" s="2">
        <v>270</v>
      </c>
      <c r="M97" s="2" t="s">
        <v>315</v>
      </c>
      <c r="O97" s="2" t="s">
        <v>316</v>
      </c>
      <c r="P97" s="2" t="str">
        <f ca="1">IFERROR(__xludf.DUMMYFUNCTION("GOOGLETRANSLATE(O97,""en"",""bn"")"),"কালিপদ লাভ")</f>
        <v>কালিপদ লাভ</v>
      </c>
      <c r="Q97" s="2" t="s">
        <v>49</v>
      </c>
      <c r="S97" s="2" t="s">
        <v>49</v>
      </c>
      <c r="V97" s="2" t="s">
        <v>317</v>
      </c>
      <c r="W97" s="2">
        <v>2</v>
      </c>
    </row>
    <row r="98" spans="1:23" ht="15.75" customHeight="1" x14ac:dyDescent="0.35">
      <c r="A98" s="2" t="s">
        <v>23</v>
      </c>
      <c r="L98" s="2">
        <v>273</v>
      </c>
      <c r="M98" s="2" t="s">
        <v>318</v>
      </c>
      <c r="O98" s="2" t="s">
        <v>319</v>
      </c>
      <c r="P98" s="2" t="str">
        <f ca="1">IFERROR(__xludf.DUMMYFUNCTION("GOOGLETRANSLATE(O98,""en"",""bn"")"),"কলিতা মাজি")</f>
        <v>কলিতা মাজি</v>
      </c>
      <c r="Q98" s="2" t="s">
        <v>34</v>
      </c>
      <c r="S98" s="2" t="s">
        <v>34</v>
      </c>
      <c r="V98" s="2" t="s">
        <v>320</v>
      </c>
      <c r="W98" s="2">
        <v>2</v>
      </c>
    </row>
    <row r="99" spans="1:23" ht="15.75" customHeight="1" x14ac:dyDescent="0.35">
      <c r="A99" s="2" t="s">
        <v>23</v>
      </c>
      <c r="L99" s="2">
        <v>92</v>
      </c>
      <c r="M99" s="2" t="s">
        <v>321</v>
      </c>
      <c r="O99" s="2" t="s">
        <v>322</v>
      </c>
      <c r="P99" s="2" t="str">
        <f ca="1">IFERROR(__xludf.DUMMYFUNCTION("GOOGLETRANSLATE(O99,""en"",""bn"")"),"ডঃ অতিন্দ্র নাথ মন্ডল")</f>
        <v>ডঃ অতিন্দ্র নাথ মন্ডল</v>
      </c>
      <c r="Q99" s="2" t="s">
        <v>26</v>
      </c>
      <c r="S99" s="2" t="s">
        <v>26</v>
      </c>
      <c r="V99" s="2" t="s">
        <v>323</v>
      </c>
      <c r="W99" s="2">
        <v>2</v>
      </c>
    </row>
    <row r="100" spans="1:23" ht="15.75" customHeight="1" x14ac:dyDescent="0.35">
      <c r="A100" s="2" t="s">
        <v>23</v>
      </c>
      <c r="L100" s="2">
        <v>180</v>
      </c>
      <c r="M100" s="2" t="s">
        <v>324</v>
      </c>
      <c r="O100" s="2" t="s">
        <v>325</v>
      </c>
      <c r="P100" s="2" t="str">
        <f ca="1">IFERROR(__xludf.DUMMYFUNCTION("GOOGLETRANSLATE(O100,""en"",""bn"")"),"অরুণব সেন")</f>
        <v>অরুণব সেন</v>
      </c>
      <c r="Q100" s="2" t="s">
        <v>26</v>
      </c>
      <c r="S100" s="2" t="s">
        <v>26</v>
      </c>
      <c r="V100" s="2" t="s">
        <v>326</v>
      </c>
      <c r="W100" s="2">
        <v>2</v>
      </c>
    </row>
    <row r="101" spans="1:23" ht="15.75" customHeight="1" x14ac:dyDescent="0.35">
      <c r="A101" s="2" t="s">
        <v>23</v>
      </c>
      <c r="L101" s="2">
        <v>119</v>
      </c>
      <c r="M101" s="2" t="s">
        <v>327</v>
      </c>
      <c r="O101" s="2" t="s">
        <v>328</v>
      </c>
      <c r="P101" s="2" t="str">
        <f ca="1">IFERROR(__xludf.DUMMYFUNCTION("GOOGLETRANSLATE(O101,""en"",""bn"")"),"তারক মুখার্জি")</f>
        <v>তারক মুখার্জি</v>
      </c>
      <c r="Q101" s="2" t="s">
        <v>41</v>
      </c>
      <c r="S101" s="2" t="s">
        <v>41</v>
      </c>
      <c r="V101" s="2" t="s">
        <v>329</v>
      </c>
      <c r="W101" s="2">
        <v>2</v>
      </c>
    </row>
    <row r="102" spans="1:23" ht="15.75" customHeight="1" x14ac:dyDescent="0.35">
      <c r="A102" s="2" t="s">
        <v>23</v>
      </c>
      <c r="L102" s="2">
        <v>175</v>
      </c>
      <c r="M102" s="2" t="s">
        <v>330</v>
      </c>
      <c r="O102" s="2" t="s">
        <v>331</v>
      </c>
      <c r="P102" s="2" t="str">
        <f ca="1">IFERROR(__xludf.DUMMYFUNCTION("GOOGLETRANSLATE(O102,""en"",""bn"")"),"গুলসান মুল্লিক")</f>
        <v>গুলসান মুল্লিক</v>
      </c>
      <c r="Q102" s="2" t="s">
        <v>26</v>
      </c>
      <c r="S102" s="2" t="s">
        <v>26</v>
      </c>
      <c r="V102" s="2" t="s">
        <v>332</v>
      </c>
      <c r="W102" s="2">
        <v>2</v>
      </c>
    </row>
    <row r="103" spans="1:23" ht="15.75" customHeight="1" x14ac:dyDescent="0.35">
      <c r="A103" s="2" t="s">
        <v>23</v>
      </c>
      <c r="L103" s="2">
        <v>135</v>
      </c>
      <c r="M103" s="2" t="s">
        <v>333</v>
      </c>
      <c r="O103" s="2" t="s">
        <v>334</v>
      </c>
      <c r="P103" s="2" t="str">
        <f ca="1">IFERROR(__xludf.DUMMYFUNCTION("GOOGLETRANSLATE(O103,""en"",""bn"")"),"চাঁদ সারাদের")</f>
        <v>চাঁদ সারাদের</v>
      </c>
      <c r="Q103" s="2" t="s">
        <v>41</v>
      </c>
      <c r="S103" s="2" t="s">
        <v>41</v>
      </c>
      <c r="V103" s="2" t="s">
        <v>335</v>
      </c>
      <c r="W103" s="2">
        <v>2</v>
      </c>
    </row>
    <row r="104" spans="1:23" ht="15.75" customHeight="1" x14ac:dyDescent="0.35">
      <c r="A104" s="2" t="s">
        <v>23</v>
      </c>
      <c r="L104" s="2">
        <v>109</v>
      </c>
      <c r="M104" s="2" t="s">
        <v>336</v>
      </c>
      <c r="O104" s="2" t="s">
        <v>337</v>
      </c>
      <c r="P104" s="2" t="str">
        <f ca="1">IFERROR(__xludf.DUMMYFUNCTION("GOOGLETRANSLATE(O104,""en"",""bn"")"),"কল্যাণ চক্রবর্তী")</f>
        <v>কল্যাণ চক্রবর্তী</v>
      </c>
      <c r="Q104" s="2" t="s">
        <v>34</v>
      </c>
      <c r="S104" s="2" t="s">
        <v>34</v>
      </c>
      <c r="V104" s="2" t="s">
        <v>338</v>
      </c>
      <c r="W104" s="2">
        <v>2</v>
      </c>
    </row>
    <row r="105" spans="1:23" ht="15.75" customHeight="1" x14ac:dyDescent="0.35">
      <c r="A105" s="2" t="s">
        <v>23</v>
      </c>
      <c r="L105" s="2">
        <v>201</v>
      </c>
      <c r="M105" s="2" t="s">
        <v>339</v>
      </c>
      <c r="O105" s="2" t="s">
        <v>340</v>
      </c>
      <c r="P105" s="2" t="str">
        <f ca="1">IFERROR(__xludf.DUMMYFUNCTION("GOOGLETRANSLATE(O105,""en"",""bn"")"),"ডাঃ নির্মল মাজি")</f>
        <v>ডাঃ নির্মল মাজি</v>
      </c>
      <c r="Q105" s="2" t="s">
        <v>26</v>
      </c>
      <c r="S105" s="2" t="s">
        <v>26</v>
      </c>
      <c r="V105" s="2" t="s">
        <v>341</v>
      </c>
      <c r="W105" s="2">
        <v>2</v>
      </c>
    </row>
    <row r="106" spans="1:23" ht="15.75" customHeight="1" x14ac:dyDescent="0.35">
      <c r="A106" s="2" t="s">
        <v>23</v>
      </c>
      <c r="L106" s="2">
        <v>105</v>
      </c>
      <c r="M106" s="2" t="s">
        <v>342</v>
      </c>
      <c r="O106" s="2" t="s">
        <v>343</v>
      </c>
      <c r="P106" s="2" t="str">
        <f ca="1">IFERROR(__xludf.DUMMYFUNCTION("GOOGLETRANSLATE(O106,""en"",""bn"")"),"অমিত গুপ্ত")</f>
        <v>অমিত গুপ্ত</v>
      </c>
      <c r="Q106" s="2" t="s">
        <v>26</v>
      </c>
      <c r="S106" s="2" t="s">
        <v>26</v>
      </c>
      <c r="V106" s="2" t="s">
        <v>344</v>
      </c>
      <c r="W106" s="2">
        <v>2</v>
      </c>
    </row>
    <row r="107" spans="1:23" ht="15.75" customHeight="1" x14ac:dyDescent="0.35">
      <c r="A107" s="2" t="s">
        <v>23</v>
      </c>
      <c r="L107" s="2">
        <v>153</v>
      </c>
      <c r="M107" s="2" t="s">
        <v>345</v>
      </c>
      <c r="O107" s="2" t="s">
        <v>346</v>
      </c>
      <c r="P107" s="2" t="str">
        <f ca="1">IFERROR(__xludf.DUMMYFUNCTION("GOOGLETRANSLATE(O107,""en"",""bn"")"),"অভিজিৎ রাহা")</f>
        <v>অভিজিৎ রাহা</v>
      </c>
      <c r="Q107" s="2" t="s">
        <v>41</v>
      </c>
      <c r="S107" s="2" t="s">
        <v>41</v>
      </c>
      <c r="V107" s="2" t="s">
        <v>347</v>
      </c>
      <c r="W107" s="2">
        <v>2</v>
      </c>
    </row>
    <row r="108" spans="1:23" ht="15.75" customHeight="1" x14ac:dyDescent="0.35">
      <c r="A108" s="2" t="s">
        <v>23</v>
      </c>
      <c r="L108" s="2">
        <v>121</v>
      </c>
      <c r="M108" s="2" t="s">
        <v>348</v>
      </c>
      <c r="O108" s="2" t="s">
        <v>349</v>
      </c>
      <c r="P108" s="2" t="str">
        <f ca="1">IFERROR(__xludf.DUMMYFUNCTION("GOOGLETRANSLATE(O108,""en"",""bn"")"),"আব্দুল মতিন মুহাম্মদ")</f>
        <v>আব্দুল মতিন মুহাম্মদ</v>
      </c>
      <c r="Q108" s="2" t="s">
        <v>26</v>
      </c>
      <c r="S108" s="2" t="s">
        <v>26</v>
      </c>
      <c r="V108" s="2" t="s">
        <v>350</v>
      </c>
      <c r="W108" s="2">
        <v>2</v>
      </c>
    </row>
    <row r="109" spans="1:23" ht="15.75" customHeight="1" x14ac:dyDescent="0.35">
      <c r="A109" s="2" t="s">
        <v>23</v>
      </c>
      <c r="L109" s="2">
        <v>87</v>
      </c>
      <c r="M109" s="2" t="s">
        <v>351</v>
      </c>
      <c r="O109" s="2" t="s">
        <v>352</v>
      </c>
      <c r="P109" s="2" t="str">
        <f ca="1">IFERROR(__xludf.DUMMYFUNCTION("GOOGLETRANSLATE(O109,""en"",""bn"")"),"তাপস কুমার ঘোষ")</f>
        <v>তাপস কুমার ঘোষ</v>
      </c>
      <c r="Q109" s="2" t="s">
        <v>26</v>
      </c>
      <c r="S109" s="2" t="s">
        <v>26</v>
      </c>
      <c r="V109" s="2" t="s">
        <v>353</v>
      </c>
      <c r="W109" s="2">
        <v>2</v>
      </c>
    </row>
    <row r="110" spans="1:23" ht="15.75" customHeight="1" x14ac:dyDescent="0.35">
      <c r="A110" s="2" t="s">
        <v>23</v>
      </c>
      <c r="L110" s="2">
        <v>83</v>
      </c>
      <c r="M110" s="2" t="s">
        <v>354</v>
      </c>
      <c r="O110" s="2" t="s">
        <v>355</v>
      </c>
      <c r="P110" s="2" t="str">
        <f ca="1">IFERROR(__xludf.DUMMYFUNCTION("GOOGLETRANSLATE(O110,""en"",""bn"")"),"অদ্বৈত বিশ্বাস")</f>
        <v>অদ্বৈত বিশ্বাস</v>
      </c>
      <c r="Q110" s="2" t="s">
        <v>45</v>
      </c>
      <c r="S110" s="2" t="s">
        <v>45</v>
      </c>
      <c r="V110" s="2" t="s">
        <v>356</v>
      </c>
      <c r="W110" s="2">
        <v>2</v>
      </c>
    </row>
    <row r="111" spans="1:23" ht="15.75" customHeight="1" x14ac:dyDescent="0.35">
      <c r="A111" s="2" t="s">
        <v>23</v>
      </c>
      <c r="L111" s="2">
        <v>272</v>
      </c>
      <c r="M111" s="2" t="s">
        <v>357</v>
      </c>
      <c r="O111" s="2" t="s">
        <v>358</v>
      </c>
      <c r="P111" s="2" t="str">
        <f ca="1">IFERROR(__xludf.DUMMYFUNCTION("GOOGLETRANSLATE(O111,""en"",""bn"")"),"অপূর্ব চৌধুরী (আচল)")</f>
        <v>অপূর্ব চৌধুরী (আচল)</v>
      </c>
      <c r="Q111" s="2" t="s">
        <v>26</v>
      </c>
      <c r="S111" s="2" t="s">
        <v>26</v>
      </c>
      <c r="V111" s="2" t="s">
        <v>359</v>
      </c>
      <c r="W111" s="2">
        <v>2</v>
      </c>
    </row>
    <row r="112" spans="1:23" ht="15.75" customHeight="1" x14ac:dyDescent="0.35">
      <c r="A112" s="2" t="s">
        <v>23</v>
      </c>
      <c r="L112" s="2">
        <v>197</v>
      </c>
      <c r="M112" s="2" t="s">
        <v>360</v>
      </c>
      <c r="O112" s="2" t="s">
        <v>361</v>
      </c>
      <c r="P112" s="2" t="str">
        <f ca="1">IFERROR(__xludf.DUMMYFUNCTION("GOOGLETRANSLATE(O112,""en"",""bn"")"),"অসীমা পাত্র")</f>
        <v>অসীমা পাত্র</v>
      </c>
      <c r="Q112" s="2" t="s">
        <v>26</v>
      </c>
      <c r="S112" s="2" t="s">
        <v>26</v>
      </c>
      <c r="V112" s="2" t="s">
        <v>362</v>
      </c>
      <c r="W112" s="2">
        <v>2</v>
      </c>
    </row>
    <row r="113" spans="1:23" ht="15.75" customHeight="1" x14ac:dyDescent="0.35">
      <c r="A113" s="2" t="s">
        <v>23</v>
      </c>
      <c r="L113" s="2">
        <v>163</v>
      </c>
      <c r="M113" s="2" t="s">
        <v>363</v>
      </c>
      <c r="O113" s="2" t="s">
        <v>364</v>
      </c>
      <c r="P113" s="2" t="str">
        <f ca="1">IFERROR(__xludf.DUMMYFUNCTION("GOOGLETRANSLATE(O113,""en"",""bn"")"),"আব্দুল রউফ")</f>
        <v>আব্দুল রউফ</v>
      </c>
      <c r="Q113" s="2" t="s">
        <v>45</v>
      </c>
      <c r="S113" s="2" t="s">
        <v>45</v>
      </c>
      <c r="V113" s="2" t="s">
        <v>365</v>
      </c>
      <c r="W113" s="2">
        <v>2</v>
      </c>
    </row>
    <row r="114" spans="1:23" ht="15.75" customHeight="1" x14ac:dyDescent="0.35">
      <c r="A114" s="2" t="s">
        <v>23</v>
      </c>
      <c r="L114" s="2">
        <v>274</v>
      </c>
      <c r="M114" s="2" t="s">
        <v>366</v>
      </c>
      <c r="O114" s="2" t="s">
        <v>367</v>
      </c>
      <c r="P114" s="2" t="str">
        <f ca="1">IFERROR(__xludf.DUMMYFUNCTION("GOOGLETRANSLATE(O114,""en"",""bn"")"),"অলোক কুমার মাঝি")</f>
        <v>অলোক কুমার মাঝি</v>
      </c>
      <c r="Q114" s="2" t="s">
        <v>26</v>
      </c>
      <c r="S114" s="2" t="s">
        <v>26</v>
      </c>
      <c r="V114" s="2" t="s">
        <v>368</v>
      </c>
      <c r="W114" s="2">
        <v>2</v>
      </c>
    </row>
    <row r="115" spans="1:23" ht="15.75" customHeight="1" x14ac:dyDescent="0.35">
      <c r="A115" s="2" t="s">
        <v>23</v>
      </c>
      <c r="L115" s="2">
        <v>111</v>
      </c>
      <c r="M115" s="2" t="s">
        <v>369</v>
      </c>
      <c r="O115" s="2" t="s">
        <v>370</v>
      </c>
      <c r="P115" s="2" t="str">
        <f ca="1">IFERROR(__xludf.DUMMYFUNCTION("GOOGLETRANSLATE(O115,""en"",""bn"")"),"কলতন দাসগুপ্ত")</f>
        <v>কলতন দাসগুপ্ত</v>
      </c>
      <c r="Q115" s="2" t="s">
        <v>45</v>
      </c>
      <c r="S115" s="2" t="s">
        <v>45</v>
      </c>
      <c r="V115" s="2" t="s">
        <v>371</v>
      </c>
      <c r="W115" s="2">
        <v>2</v>
      </c>
    </row>
    <row r="116" spans="1:23" ht="15.75" customHeight="1" x14ac:dyDescent="0.35">
      <c r="A116" s="2" t="s">
        <v>23</v>
      </c>
      <c r="L116" s="2">
        <v>137</v>
      </c>
      <c r="M116" s="2" t="s">
        <v>372</v>
      </c>
      <c r="O116" s="2" t="s">
        <v>373</v>
      </c>
      <c r="P116" s="2" t="str">
        <f ca="1">IFERROR(__xludf.DUMMYFUNCTION("GOOGLETRANSLATE(O116,""en"",""bn"")"),"টুম্পা সর্দার")</f>
        <v>টুম্পা সর্দার</v>
      </c>
      <c r="Q116" s="2" t="s">
        <v>34</v>
      </c>
      <c r="S116" s="2" t="s">
        <v>34</v>
      </c>
      <c r="V116" s="2" t="s">
        <v>374</v>
      </c>
      <c r="W116" s="2">
        <v>2</v>
      </c>
    </row>
    <row r="117" spans="1:23" ht="15.75" customHeight="1" x14ac:dyDescent="0.35">
      <c r="A117" s="2" t="s">
        <v>23</v>
      </c>
      <c r="L117" s="2">
        <v>82</v>
      </c>
      <c r="M117" s="2" t="s">
        <v>375</v>
      </c>
      <c r="O117" s="2" t="s">
        <v>376</v>
      </c>
      <c r="P117" s="2" t="str">
        <f ca="1">IFERROR(__xludf.DUMMYFUNCTION("GOOGLETRANSLATE(O117,""en"",""bn"")"),"আসিফ খান")</f>
        <v>আসিফ খান</v>
      </c>
      <c r="Q117" s="2" t="s">
        <v>41</v>
      </c>
      <c r="S117" s="2" t="s">
        <v>41</v>
      </c>
      <c r="V117" s="2" t="s">
        <v>377</v>
      </c>
      <c r="W117" s="2">
        <v>2</v>
      </c>
    </row>
    <row r="118" spans="1:23" ht="15.75" customHeight="1" x14ac:dyDescent="0.35">
      <c r="A118" s="2" t="s">
        <v>23</v>
      </c>
      <c r="L118" s="2">
        <v>269</v>
      </c>
      <c r="M118" s="2" t="s">
        <v>378</v>
      </c>
      <c r="O118" s="2" t="s">
        <v>379</v>
      </c>
      <c r="P118" s="2" t="str">
        <f ca="1">IFERROR(__xludf.DUMMYFUNCTION("GOOGLETRANSLATE(O118,""en"",""bn"")"),"অমিতাভ ভট্টাচার্য")</f>
        <v>অমিতাভ ভট্টাচার্য</v>
      </c>
      <c r="Q118" s="2" t="s">
        <v>41</v>
      </c>
      <c r="S118" s="2" t="s">
        <v>41</v>
      </c>
      <c r="V118" s="2" t="s">
        <v>380</v>
      </c>
      <c r="W118" s="2">
        <v>2</v>
      </c>
    </row>
    <row r="119" spans="1:23" ht="15.75" customHeight="1" x14ac:dyDescent="0.35">
      <c r="A119" s="2" t="s">
        <v>23</v>
      </c>
      <c r="L119" s="2">
        <v>198</v>
      </c>
      <c r="M119" s="2" t="s">
        <v>381</v>
      </c>
      <c r="O119" s="2" t="s">
        <v>382</v>
      </c>
      <c r="P119" s="2" t="str">
        <f ca="1">IFERROR(__xludf.DUMMYFUNCTION("GOOGLETRANSLATE(O119,""en"",""bn"")"),"আদেশ খামরুই")</f>
        <v>আদেশ খামরুই</v>
      </c>
      <c r="Q119" s="2" t="s">
        <v>45</v>
      </c>
      <c r="S119" s="2" t="s">
        <v>45</v>
      </c>
      <c r="V119" s="2" t="s">
        <v>383</v>
      </c>
      <c r="W119" s="2">
        <v>2</v>
      </c>
    </row>
    <row r="120" spans="1:23" ht="15.75" customHeight="1" x14ac:dyDescent="0.35">
      <c r="A120" s="2" t="s">
        <v>23</v>
      </c>
      <c r="L120" s="2">
        <v>133</v>
      </c>
      <c r="M120" s="2" t="s">
        <v>384</v>
      </c>
      <c r="O120" s="2" t="s">
        <v>385</v>
      </c>
      <c r="P120" s="2" t="str">
        <f ca="1">IFERROR(__xludf.DUMMYFUNCTION("GOOGLETRANSLATE(O120,""en"",""bn"")"),"অবনী নস্কর")</f>
        <v>অবনী নস্কর</v>
      </c>
      <c r="Q120" s="2" t="s">
        <v>34</v>
      </c>
      <c r="S120" s="2" t="s">
        <v>34</v>
      </c>
      <c r="V120" s="2" t="s">
        <v>386</v>
      </c>
      <c r="W120" s="2">
        <v>2</v>
      </c>
    </row>
    <row r="121" spans="1:23" ht="15.75" customHeight="1" x14ac:dyDescent="0.35">
      <c r="A121" s="2" t="s">
        <v>23</v>
      </c>
      <c r="L121" s="2">
        <v>85</v>
      </c>
      <c r="M121" s="2" t="s">
        <v>387</v>
      </c>
      <c r="O121" s="2" t="s">
        <v>388</v>
      </c>
      <c r="P121" s="2" t="str">
        <f ca="1">IFERROR(__xludf.DUMMYFUNCTION("GOOGLETRANSLATE(O121,""en"",""bn"")"),"আবদুর রহিম শেখ")</f>
        <v>আবদুর রহিম শেখ</v>
      </c>
      <c r="Q121" s="2" t="s">
        <v>41</v>
      </c>
      <c r="S121" s="2" t="s">
        <v>41</v>
      </c>
      <c r="V121" s="2" t="s">
        <v>389</v>
      </c>
      <c r="W121" s="2">
        <v>2</v>
      </c>
    </row>
    <row r="122" spans="1:23" ht="15.75" customHeight="1" x14ac:dyDescent="0.35">
      <c r="A122" s="2" t="s">
        <v>23</v>
      </c>
      <c r="L122" s="2">
        <v>165</v>
      </c>
      <c r="M122" s="2" t="s">
        <v>390</v>
      </c>
      <c r="O122" s="2" t="s">
        <v>391</v>
      </c>
      <c r="P122" s="2" t="str">
        <f ca="1">IFERROR(__xludf.DUMMYFUNCTION("GOOGLETRANSLATE(O122,""en"",""bn"")"),"ভারতরাম তেওয়ারী")</f>
        <v>ভারতরাম তেওয়ারী</v>
      </c>
      <c r="Q122" s="2" t="s">
        <v>45</v>
      </c>
      <c r="S122" s="2" t="s">
        <v>45</v>
      </c>
      <c r="V122" s="2" t="s">
        <v>392</v>
      </c>
      <c r="W122" s="2">
        <v>2</v>
      </c>
    </row>
    <row r="123" spans="1:23" ht="15.75" customHeight="1" x14ac:dyDescent="0.35">
      <c r="A123" s="2" t="s">
        <v>23</v>
      </c>
      <c r="L123" s="2">
        <v>264</v>
      </c>
      <c r="M123" s="2" t="s">
        <v>393</v>
      </c>
      <c r="O123" s="2" t="s">
        <v>394</v>
      </c>
      <c r="P123" s="2" t="str">
        <f ca="1">IFERROR(__xludf.DUMMYFUNCTION("GOOGLETRANSLATE(O123,""en"",""bn"")"),"অমল কুমার সাহা")</f>
        <v>অমল কুমার সাহা</v>
      </c>
      <c r="Q123" s="2" t="s">
        <v>41</v>
      </c>
      <c r="S123" s="2" t="s">
        <v>41</v>
      </c>
      <c r="V123" s="2" t="s">
        <v>395</v>
      </c>
      <c r="W123" s="2">
        <v>2</v>
      </c>
    </row>
    <row r="124" spans="1:23" ht="15.75" customHeight="1" x14ac:dyDescent="0.35">
      <c r="A124" s="2" t="s">
        <v>23</v>
      </c>
      <c r="L124" s="2">
        <v>104</v>
      </c>
      <c r="M124" s="2" t="s">
        <v>396</v>
      </c>
      <c r="O124" s="2" t="s">
        <v>397</v>
      </c>
      <c r="P124" s="2" t="str">
        <f ca="1">IFERROR(__xludf.DUMMYFUNCTION("GOOGLETRANSLATE(O124,""en"",""bn"")"),"দেবজিৎ মুখার্জি")</f>
        <v>দেবজিৎ মুখার্জি</v>
      </c>
      <c r="Q124" s="2" t="s">
        <v>49</v>
      </c>
      <c r="S124" s="2" t="s">
        <v>49</v>
      </c>
      <c r="V124" s="2" t="s">
        <v>398</v>
      </c>
      <c r="W124" s="2">
        <v>2</v>
      </c>
    </row>
    <row r="125" spans="1:23" ht="15.75" customHeight="1" x14ac:dyDescent="0.35">
      <c r="A125" s="2" t="s">
        <v>23</v>
      </c>
      <c r="L125" s="2">
        <v>113</v>
      </c>
      <c r="M125" s="2" t="s">
        <v>399</v>
      </c>
      <c r="O125" s="2" t="s">
        <v>400</v>
      </c>
      <c r="P125" s="2" t="str">
        <f ca="1">IFERROR(__xludf.DUMMYFUNCTION("GOOGLETRANSLATE(O125,""en"",""bn"")"),"কল্যাণী চক্রবর্তী")</f>
        <v>কল্যাণী চক্রবর্তী</v>
      </c>
      <c r="Q125" s="2" t="s">
        <v>41</v>
      </c>
      <c r="S125" s="2" t="s">
        <v>41</v>
      </c>
      <c r="V125" s="2" t="s">
        <v>401</v>
      </c>
      <c r="W125" s="2">
        <v>2</v>
      </c>
    </row>
    <row r="126" spans="1:23" ht="15.75" customHeight="1" x14ac:dyDescent="0.35">
      <c r="A126" s="2" t="s">
        <v>23</v>
      </c>
      <c r="L126" s="2">
        <v>164</v>
      </c>
      <c r="M126" s="2" t="s">
        <v>402</v>
      </c>
      <c r="O126" s="2" t="s">
        <v>403</v>
      </c>
      <c r="P126" s="2" t="str">
        <f ca="1">IFERROR(__xludf.DUMMYFUNCTION("GOOGLETRANSLATE(O126,""en"",""bn"")"),"কুনাল কুমার ঘোষ")</f>
        <v>কুনাল কুমার ঘোষ</v>
      </c>
      <c r="Q126" s="2" t="s">
        <v>26</v>
      </c>
      <c r="S126" s="2" t="s">
        <v>26</v>
      </c>
      <c r="V126" s="2" t="s">
        <v>404</v>
      </c>
      <c r="W126" s="2">
        <v>2</v>
      </c>
    </row>
    <row r="127" spans="1:23" ht="15.75" customHeight="1" x14ac:dyDescent="0.35">
      <c r="A127" s="2" t="s">
        <v>23</v>
      </c>
      <c r="L127" s="2">
        <v>187</v>
      </c>
      <c r="M127" s="2" t="s">
        <v>405</v>
      </c>
      <c r="O127" s="2" t="s">
        <v>406</v>
      </c>
      <c r="P127" s="2" t="str">
        <f ca="1">IFERROR(__xludf.DUMMYFUNCTION("GOOGLETRANSLATE(O127,""en"",""bn"")"),"অরিন্দম গুইন (বুবাই)")</f>
        <v>অরিন্দম গুইন (বুবাই)</v>
      </c>
      <c r="Q127" s="2" t="s">
        <v>26</v>
      </c>
      <c r="S127" s="2" t="s">
        <v>26</v>
      </c>
      <c r="V127" s="2" t="s">
        <v>407</v>
      </c>
      <c r="W127" s="2">
        <v>2</v>
      </c>
    </row>
    <row r="128" spans="1:23" ht="15.75" customHeight="1" x14ac:dyDescent="0.35">
      <c r="A128" s="2" t="s">
        <v>23</v>
      </c>
      <c r="L128" s="2">
        <v>148</v>
      </c>
      <c r="M128" s="2" t="s">
        <v>408</v>
      </c>
      <c r="O128" s="2" t="s">
        <v>409</v>
      </c>
      <c r="P128" s="2" t="str">
        <f ca="1">IFERROR(__xludf.DUMMYFUNCTION("GOOGLETRANSLATE(O128,""en"",""bn"")"),"জয়ন্ত গায়েন")</f>
        <v>জয়ন্ত গায়েন</v>
      </c>
      <c r="Q128" s="2" t="s">
        <v>34</v>
      </c>
      <c r="S128" s="2" t="s">
        <v>34</v>
      </c>
      <c r="V128" s="2" t="s">
        <v>410</v>
      </c>
      <c r="W128" s="2">
        <v>2</v>
      </c>
    </row>
    <row r="129" spans="1:23" ht="15.75" customHeight="1" x14ac:dyDescent="0.35">
      <c r="A129" s="2" t="s">
        <v>23</v>
      </c>
      <c r="L129" s="2">
        <v>162</v>
      </c>
      <c r="M129" s="2" t="s">
        <v>411</v>
      </c>
      <c r="O129" s="2" t="s">
        <v>412</v>
      </c>
      <c r="P129" s="2" t="str">
        <f ca="1">IFERROR(__xludf.DUMMYFUNCTION("GOOGLETRANSLATE(O129,""en"",""bn"")"),"বন্দ্যোপাধ্যায় নয়না")</f>
        <v>বন্দ্যোপাধ্যায় নয়না</v>
      </c>
      <c r="Q129" s="2" t="s">
        <v>26</v>
      </c>
      <c r="S129" s="2" t="s">
        <v>26</v>
      </c>
      <c r="V129" s="2" t="s">
        <v>413</v>
      </c>
      <c r="W129" s="2">
        <v>2</v>
      </c>
    </row>
    <row r="130" spans="1:23" ht="15.75" customHeight="1" x14ac:dyDescent="0.35">
      <c r="A130" s="2" t="s">
        <v>23</v>
      </c>
      <c r="L130" s="2">
        <v>142</v>
      </c>
      <c r="M130" s="2" t="s">
        <v>414</v>
      </c>
      <c r="O130" s="2" t="s">
        <v>415</v>
      </c>
      <c r="P130" s="2" t="str">
        <f ca="1">IFERROR(__xludf.DUMMYFUNCTION("GOOGLETRANSLATE(O130,""en"",""bn"")"),"আব্দুল মজিদ হালদার")</f>
        <v>আব্দুল মজিদ হালদার</v>
      </c>
      <c r="Q130" s="2" t="s">
        <v>41</v>
      </c>
      <c r="S130" s="2" t="s">
        <v>41</v>
      </c>
      <c r="V130" s="2" t="s">
        <v>416</v>
      </c>
      <c r="W130" s="2">
        <v>2</v>
      </c>
    </row>
    <row r="131" spans="1:23" ht="15.75" customHeight="1" x14ac:dyDescent="0.35">
      <c r="A131" s="2" t="s">
        <v>23</v>
      </c>
      <c r="L131" s="2">
        <v>262</v>
      </c>
      <c r="M131" s="2" t="s">
        <v>417</v>
      </c>
      <c r="O131" s="2" t="s">
        <v>418</v>
      </c>
      <c r="P131" s="2" t="str">
        <f ca="1">IFERROR(__xludf.DUMMYFUNCTION("GOOGLETRANSLATE(O131,""en"",""bn"")"),"অরুণ হালদার")</f>
        <v>অরুণ হালদার</v>
      </c>
      <c r="Q131" s="2" t="s">
        <v>34</v>
      </c>
      <c r="S131" s="2" t="s">
        <v>34</v>
      </c>
      <c r="V131" s="2" t="s">
        <v>419</v>
      </c>
      <c r="W131" s="2">
        <v>2</v>
      </c>
    </row>
    <row r="132" spans="1:23" ht="15.75" customHeight="1" x14ac:dyDescent="0.35">
      <c r="A132" s="2" t="s">
        <v>23</v>
      </c>
      <c r="L132" s="2">
        <v>265</v>
      </c>
      <c r="M132" s="2" t="s">
        <v>420</v>
      </c>
      <c r="O132" s="2" t="s">
        <v>421</v>
      </c>
      <c r="P132" s="2" t="str">
        <f ca="1">IFERROR(__xludf.DUMMYFUNCTION("GOOGLETRANSLATE(O132,""en"",""bn"")"),"কৃষ্ণু ভদ্র")</f>
        <v>কৃষ্ণু ভদ্র</v>
      </c>
      <c r="Q132" s="2" t="s">
        <v>45</v>
      </c>
      <c r="S132" s="2" t="s">
        <v>45</v>
      </c>
      <c r="V132" s="2" t="s">
        <v>422</v>
      </c>
      <c r="W132" s="2">
        <v>2</v>
      </c>
    </row>
    <row r="133" spans="1:23" ht="15.75" customHeight="1" x14ac:dyDescent="0.35">
      <c r="A133" s="2" t="s">
        <v>23</v>
      </c>
      <c r="L133" s="2">
        <v>97</v>
      </c>
      <c r="M133" s="2" t="s">
        <v>423</v>
      </c>
      <c r="O133" s="2" t="s">
        <v>424</v>
      </c>
      <c r="P133" s="2" t="str">
        <f ca="1">IFERROR(__xludf.DUMMYFUNCTION("GOOGLETRANSLATE(O133,""en"",""bn"")"),"অনিল কুমার পান্ডে")</f>
        <v>অনিল কুমার পান্ডে</v>
      </c>
      <c r="Q133" s="2" t="s">
        <v>41</v>
      </c>
      <c r="S133" s="2" t="s">
        <v>41</v>
      </c>
      <c r="V133" s="2" t="s">
        <v>425</v>
      </c>
      <c r="W133" s="2">
        <v>2</v>
      </c>
    </row>
    <row r="134" spans="1:23" ht="15.75" customHeight="1" x14ac:dyDescent="0.35">
      <c r="A134" s="2" t="s">
        <v>23</v>
      </c>
      <c r="L134" s="2">
        <v>89</v>
      </c>
      <c r="M134" s="2" t="s">
        <v>426</v>
      </c>
      <c r="O134" s="2" t="s">
        <v>427</v>
      </c>
      <c r="P134" s="2" t="str">
        <f ca="1">IFERROR(__xludf.DUMMYFUNCTION("GOOGLETRANSLATE(O134,""en"",""bn"")"),"আশিম বিশ্বাস")</f>
        <v>আশিম বিশ্বাস</v>
      </c>
      <c r="Q134" s="2" t="s">
        <v>34</v>
      </c>
      <c r="S134" s="2" t="s">
        <v>34</v>
      </c>
      <c r="V134" s="2" t="s">
        <v>428</v>
      </c>
      <c r="W134" s="2">
        <v>2</v>
      </c>
    </row>
    <row r="135" spans="1:23" ht="15.75" customHeight="1" x14ac:dyDescent="0.35">
      <c r="A135" s="2" t="s">
        <v>23</v>
      </c>
      <c r="L135" s="2">
        <v>140</v>
      </c>
      <c r="M135" s="2" t="s">
        <v>429</v>
      </c>
      <c r="O135" s="2" t="s">
        <v>430</v>
      </c>
      <c r="P135" s="2" t="str">
        <f ca="1">IFERROR(__xludf.DUMMYFUNCTION("GOOGLETRANSLATE(O135,""en"",""bn"")"),"অমূল্য কুমার সর্দার")</f>
        <v>অমূল্য কুমার সর্দার</v>
      </c>
      <c r="Q135" s="2" t="s">
        <v>49</v>
      </c>
      <c r="S135" s="2" t="s">
        <v>49</v>
      </c>
      <c r="V135" s="2" t="s">
        <v>431</v>
      </c>
      <c r="W135" s="2">
        <v>2</v>
      </c>
    </row>
    <row r="136" spans="1:23" ht="15.75" customHeight="1" x14ac:dyDescent="0.35">
      <c r="A136" s="2" t="s">
        <v>23</v>
      </c>
      <c r="L136" s="2">
        <v>86</v>
      </c>
      <c r="M136" s="2" t="s">
        <v>432</v>
      </c>
      <c r="O136" s="2" t="s">
        <v>433</v>
      </c>
      <c r="P136" s="2" t="str">
        <f ca="1">IFERROR(__xludf.DUMMYFUNCTION("GOOGLETRANSLATE(O136,""en"",""bn"")"),"অলোক চ্যাটার্জি")</f>
        <v>অলোক চ্যাটার্জি</v>
      </c>
      <c r="Q136" s="2" t="s">
        <v>41</v>
      </c>
      <c r="S136" s="2" t="s">
        <v>41</v>
      </c>
      <c r="V136" s="2" t="s">
        <v>434</v>
      </c>
      <c r="W136" s="2">
        <v>2</v>
      </c>
    </row>
    <row r="137" spans="1:23" ht="15.75" customHeight="1" x14ac:dyDescent="0.35">
      <c r="A137" s="2" t="s">
        <v>23</v>
      </c>
      <c r="L137" s="2">
        <v>179</v>
      </c>
      <c r="M137" s="2" t="s">
        <v>435</v>
      </c>
      <c r="O137" s="2" t="s">
        <v>436</v>
      </c>
      <c r="P137" s="2" t="s">
        <v>3058</v>
      </c>
      <c r="Q137" s="2" t="s">
        <v>30</v>
      </c>
      <c r="S137" s="2" t="s">
        <v>30</v>
      </c>
      <c r="V137" s="2" t="s">
        <v>437</v>
      </c>
      <c r="W137" s="2">
        <v>2</v>
      </c>
    </row>
    <row r="138" spans="1:23" ht="15.75" customHeight="1" x14ac:dyDescent="0.35">
      <c r="A138" s="2" t="s">
        <v>23</v>
      </c>
      <c r="L138" s="2">
        <v>170</v>
      </c>
      <c r="M138" s="2" t="s">
        <v>438</v>
      </c>
      <c r="O138" s="2" t="s">
        <v>439</v>
      </c>
      <c r="P138" s="2" t="str">
        <f ca="1">IFERROR(__xludf.DUMMYFUNCTION("GOOGLETRANSLATE(O138,""en"",""bn"")"),"উমেশ রায়")</f>
        <v>উমেশ রায়</v>
      </c>
      <c r="Q138" s="2" t="s">
        <v>34</v>
      </c>
      <c r="S138" s="2" t="s">
        <v>34</v>
      </c>
      <c r="V138" s="2" t="s">
        <v>440</v>
      </c>
      <c r="W138" s="2">
        <v>2</v>
      </c>
    </row>
    <row r="139" spans="1:23" ht="15.75" customHeight="1" x14ac:dyDescent="0.35">
      <c r="A139" s="2" t="s">
        <v>23</v>
      </c>
      <c r="L139" s="2">
        <v>108</v>
      </c>
      <c r="M139" s="2" t="s">
        <v>441</v>
      </c>
      <c r="O139" s="2" t="s">
        <v>442</v>
      </c>
      <c r="P139" s="2" t="str">
        <f ca="1">IFERROR(__xludf.DUMMYFUNCTION("GOOGLETRANSLATE(O139,""en"",""bn"")"),"কৌস্তুভ বাগচি")</f>
        <v>কৌস্তুভ বাগচি</v>
      </c>
      <c r="Q139" s="2" t="s">
        <v>34</v>
      </c>
      <c r="S139" s="2" t="s">
        <v>34</v>
      </c>
      <c r="V139" s="2" t="s">
        <v>443</v>
      </c>
      <c r="W139" s="2">
        <v>2</v>
      </c>
    </row>
    <row r="140" spans="1:23" ht="15.75" customHeight="1" x14ac:dyDescent="0.35">
      <c r="A140" s="2" t="s">
        <v>23</v>
      </c>
      <c r="L140" s="2">
        <v>271</v>
      </c>
      <c r="M140" s="2" t="s">
        <v>444</v>
      </c>
      <c r="O140" s="2" t="s">
        <v>445</v>
      </c>
      <c r="P140" s="2" t="str">
        <f ca="1">IFERROR(__xludf.DUMMYFUNCTION("GOOGLETRANSLATE(O140,""en"",""bn"")"),"অনদী ঘোষ")</f>
        <v>অনদী ঘোষ</v>
      </c>
      <c r="Q140" s="2" t="s">
        <v>34</v>
      </c>
      <c r="S140" s="2" t="s">
        <v>34</v>
      </c>
      <c r="V140" s="2" t="s">
        <v>446</v>
      </c>
      <c r="W140" s="2">
        <v>2</v>
      </c>
    </row>
    <row r="141" spans="1:23" ht="15.75" customHeight="1" x14ac:dyDescent="0.35">
      <c r="A141" s="2" t="s">
        <v>23</v>
      </c>
      <c r="L141" s="2">
        <v>130</v>
      </c>
      <c r="M141" s="2" t="s">
        <v>447</v>
      </c>
      <c r="O141" s="2" t="s">
        <v>448</v>
      </c>
      <c r="P141" s="2" t="str">
        <f ca="1">IFERROR(__xludf.DUMMYFUNCTION("GOOGLETRANSLATE(O141,""en"",""bn"")"),"অসিত কুমার হালদার")</f>
        <v>অসিত কুমার হালদার</v>
      </c>
      <c r="Q141" s="2" t="s">
        <v>34</v>
      </c>
      <c r="S141" s="2" t="s">
        <v>34</v>
      </c>
      <c r="V141" s="2" t="s">
        <v>449</v>
      </c>
      <c r="W141" s="2">
        <v>2</v>
      </c>
    </row>
    <row r="142" spans="1:23" ht="15.75" customHeight="1" x14ac:dyDescent="0.35">
      <c r="A142" s="2" t="s">
        <v>23</v>
      </c>
      <c r="L142" s="2">
        <v>152</v>
      </c>
      <c r="M142" s="2" t="s">
        <v>450</v>
      </c>
      <c r="O142" s="2" t="s">
        <v>451</v>
      </c>
      <c r="P142" s="2" t="str">
        <f ca="1">IFERROR(__xludf.DUMMYFUNCTION("GOOGLETRANSLATE(O142,""en"",""bn"")"),"অমল ধালি")</f>
        <v>অমল ধালি</v>
      </c>
      <c r="Q142" s="2" t="s">
        <v>49</v>
      </c>
      <c r="S142" s="2" t="s">
        <v>49</v>
      </c>
      <c r="V142" s="2" t="s">
        <v>452</v>
      </c>
      <c r="W142" s="2">
        <v>2</v>
      </c>
    </row>
    <row r="143" spans="1:23" ht="15.75" customHeight="1" x14ac:dyDescent="0.35">
      <c r="A143" s="2" t="s">
        <v>23</v>
      </c>
      <c r="L143" s="2">
        <v>259</v>
      </c>
      <c r="M143" s="2" t="s">
        <v>453</v>
      </c>
      <c r="O143" s="2" t="s">
        <v>454</v>
      </c>
      <c r="P143" s="2" t="str">
        <f ca="1">IFERROR(__xludf.DUMMYFUNCTION("GOOGLETRANSLATE(O143,""en"",""bn"")"),"অনুপ কুমার সাহা")</f>
        <v>অনুপ কুমার সাহা</v>
      </c>
      <c r="Q143" s="2" t="s">
        <v>41</v>
      </c>
      <c r="S143" s="2" t="s">
        <v>41</v>
      </c>
      <c r="V143" s="2" t="s">
        <v>455</v>
      </c>
      <c r="W143" s="2">
        <v>2</v>
      </c>
    </row>
    <row r="144" spans="1:23" ht="15.75" customHeight="1" x14ac:dyDescent="0.35">
      <c r="A144" s="2" t="s">
        <v>23</v>
      </c>
      <c r="L144" s="2">
        <v>90</v>
      </c>
      <c r="M144" s="2" t="s">
        <v>280</v>
      </c>
      <c r="O144" s="2" t="s">
        <v>456</v>
      </c>
      <c r="P144" s="2" t="str">
        <f ca="1">IFERROR(__xludf.DUMMYFUNCTION("GOOGLETRANSLATE(O144,""en"",""bn"")"),"অসীম কুমার বিশ্বাস")</f>
        <v>অসীম কুমার বিশ্বাস</v>
      </c>
      <c r="Q144" s="2" t="s">
        <v>34</v>
      </c>
      <c r="S144" s="2" t="s">
        <v>34</v>
      </c>
      <c r="V144" s="2" t="s">
        <v>457</v>
      </c>
      <c r="W144" s="2">
        <v>2</v>
      </c>
    </row>
    <row r="145" spans="1:23" ht="15.75" customHeight="1" x14ac:dyDescent="0.35">
      <c r="A145" s="2" t="s">
        <v>23</v>
      </c>
      <c r="L145" s="2">
        <v>195</v>
      </c>
      <c r="M145" s="2" t="s">
        <v>235</v>
      </c>
      <c r="O145" s="2" t="s">
        <v>458</v>
      </c>
      <c r="P145" s="2" t="str">
        <f ca="1">IFERROR(__xludf.DUMMYFUNCTION("GOOGLETRANSLATE(O145,""en"",""bn"")"),"সুভাসিস দত্ত")</f>
        <v>সুভাসিস দত্ত</v>
      </c>
      <c r="Q145" s="2" t="s">
        <v>41</v>
      </c>
      <c r="S145" s="2" t="s">
        <v>41</v>
      </c>
      <c r="V145" s="2" t="s">
        <v>459</v>
      </c>
      <c r="W145" s="2">
        <v>2</v>
      </c>
    </row>
    <row r="146" spans="1:23" ht="15.75" customHeight="1" x14ac:dyDescent="0.35">
      <c r="A146" s="2" t="s">
        <v>23</v>
      </c>
      <c r="L146" s="2">
        <v>151</v>
      </c>
      <c r="M146" s="2" t="s">
        <v>81</v>
      </c>
      <c r="O146" s="2" t="s">
        <v>460</v>
      </c>
      <c r="P146" s="2" t="str">
        <f ca="1">IFERROR(__xludf.DUMMYFUNCTION("GOOGLETRANSLATE(O146,""en"",""bn"")"),"দেবাশিস ধর")</f>
        <v>দেবাশিস ধর</v>
      </c>
      <c r="Q146" s="2" t="s">
        <v>34</v>
      </c>
      <c r="S146" s="2" t="s">
        <v>34</v>
      </c>
      <c r="V146" s="2" t="s">
        <v>461</v>
      </c>
      <c r="W146" s="2">
        <v>2</v>
      </c>
    </row>
    <row r="147" spans="1:23" ht="15.75" customHeight="1" x14ac:dyDescent="0.35">
      <c r="A147" s="2" t="s">
        <v>23</v>
      </c>
      <c r="L147" s="2">
        <v>81</v>
      </c>
      <c r="M147" s="2" t="s">
        <v>217</v>
      </c>
      <c r="O147" s="2" t="s">
        <v>462</v>
      </c>
      <c r="P147" s="2" t="str">
        <f ca="1">IFERROR(__xludf.DUMMYFUNCTION("GOOGLETRANSLATE(O147,""en"",""bn"")"),"তাহির শেখ")</f>
        <v>তাহির শেখ</v>
      </c>
      <c r="Q147" s="2" t="s">
        <v>41</v>
      </c>
      <c r="S147" s="2" t="s">
        <v>41</v>
      </c>
      <c r="V147" s="2" t="s">
        <v>463</v>
      </c>
      <c r="W147" s="2">
        <v>2</v>
      </c>
    </row>
    <row r="148" spans="1:23" ht="15.75" customHeight="1" x14ac:dyDescent="0.35">
      <c r="A148" s="2" t="s">
        <v>23</v>
      </c>
      <c r="L148" s="2">
        <v>104</v>
      </c>
      <c r="M148" s="2" t="s">
        <v>396</v>
      </c>
      <c r="O148" s="2" t="s">
        <v>464</v>
      </c>
      <c r="P148" s="2" t="str">
        <f ca="1">IFERROR(__xludf.DUMMYFUNCTION("GOOGLETRANSLATE(O148,""en"",""bn"")"),"প্রদীপ কুমার কুন্ডু")</f>
        <v>প্রদীপ কুমার কুন্ডু</v>
      </c>
      <c r="Q148" s="2" t="s">
        <v>41</v>
      </c>
      <c r="S148" s="2" t="s">
        <v>41</v>
      </c>
      <c r="V148" s="2" t="s">
        <v>465</v>
      </c>
      <c r="W148" s="2">
        <v>2</v>
      </c>
    </row>
    <row r="149" spans="1:23" ht="15.75" customHeight="1" x14ac:dyDescent="0.35">
      <c r="A149" s="2" t="s">
        <v>23</v>
      </c>
      <c r="L149" s="2">
        <v>112</v>
      </c>
      <c r="M149" s="2" t="s">
        <v>196</v>
      </c>
      <c r="O149" s="2" t="s">
        <v>466</v>
      </c>
      <c r="P149" s="2" t="str">
        <f ca="1">IFERROR(__xludf.DUMMYFUNCTION("GOOGLETRANSLATE(O149,""en"",""bn"")"),"কল্লোল মুখার্জি")</f>
        <v>কল্লোল মুখার্জি</v>
      </c>
      <c r="Q149" s="2" t="s">
        <v>41</v>
      </c>
      <c r="S149" s="2" t="s">
        <v>41</v>
      </c>
      <c r="V149" s="2" t="s">
        <v>467</v>
      </c>
      <c r="W149" s="2">
        <v>2</v>
      </c>
    </row>
    <row r="150" spans="1:23" ht="15.75" customHeight="1" x14ac:dyDescent="0.35">
      <c r="A150" s="2" t="s">
        <v>23</v>
      </c>
      <c r="L150" s="2">
        <v>107</v>
      </c>
      <c r="M150" s="2" t="s">
        <v>32</v>
      </c>
      <c r="O150" s="2" t="s">
        <v>468</v>
      </c>
      <c r="P150" s="2" t="str">
        <f ca="1">IFERROR(__xludf.DUMMYFUNCTION("GOOGLETRANSLATE(O150,""en"",""bn"")"),"অশোক ভট্টাচার্য")</f>
        <v>অশোক ভট্টাচার্য</v>
      </c>
      <c r="Q150" s="2" t="s">
        <v>41</v>
      </c>
      <c r="S150" s="2" t="s">
        <v>41</v>
      </c>
      <c r="V150" s="2" t="s">
        <v>469</v>
      </c>
      <c r="W150" s="2">
        <v>2</v>
      </c>
    </row>
    <row r="151" spans="1:23" ht="15.75" customHeight="1" x14ac:dyDescent="0.35">
      <c r="A151" s="2" t="s">
        <v>23</v>
      </c>
      <c r="L151" s="2">
        <v>196</v>
      </c>
      <c r="M151" s="2" t="s">
        <v>148</v>
      </c>
      <c r="O151" s="2" t="s">
        <v>470</v>
      </c>
      <c r="P151" s="2" t="str">
        <f ca="1">IFERROR(__xludf.DUMMYFUNCTION("GOOGLETRANSLATE(O151,""en"",""bn"")"),"কারাবি মান্না")</f>
        <v>কারাবি মান্না</v>
      </c>
      <c r="Q151" s="2" t="s">
        <v>26</v>
      </c>
      <c r="S151" s="2" t="s">
        <v>26</v>
      </c>
      <c r="V151" s="2" t="s">
        <v>471</v>
      </c>
      <c r="W151" s="2">
        <v>2</v>
      </c>
    </row>
    <row r="152" spans="1:23" ht="15.75" customHeight="1" x14ac:dyDescent="0.35">
      <c r="A152" s="2" t="s">
        <v>23</v>
      </c>
      <c r="L152" s="2">
        <v>123</v>
      </c>
      <c r="M152" s="2" t="s">
        <v>208</v>
      </c>
      <c r="O152" s="2" t="s">
        <v>472</v>
      </c>
      <c r="P152" s="2" t="str">
        <f ca="1">IFERROR(__xludf.DUMMYFUNCTION("GOOGLETRANSLATE(O152,""en"",""bn"")"),"যুধিষ্ঠির ভূমিজ")</f>
        <v>যুধিষ্ঠির ভূমিজ</v>
      </c>
      <c r="Q152" s="2" t="s">
        <v>41</v>
      </c>
      <c r="S152" s="2" t="s">
        <v>41</v>
      </c>
      <c r="V152" s="2" t="s">
        <v>473</v>
      </c>
      <c r="W152" s="2">
        <v>2</v>
      </c>
    </row>
    <row r="153" spans="1:23" ht="15.75" customHeight="1" x14ac:dyDescent="0.35">
      <c r="A153" s="2" t="s">
        <v>23</v>
      </c>
      <c r="L153" s="2">
        <v>157</v>
      </c>
      <c r="M153" s="2" t="s">
        <v>36</v>
      </c>
      <c r="O153" s="2" t="s">
        <v>474</v>
      </c>
      <c r="P153" s="2" t="str">
        <f ca="1">IFERROR(__xludf.DUMMYFUNCTION("GOOGLETRANSLATE(O153,""en"",""bn"")"),"বীর বাহাদুর সিং")</f>
        <v>বীর বাহাদুর সিং</v>
      </c>
      <c r="Q153" s="2" t="s">
        <v>34</v>
      </c>
      <c r="S153" s="2" t="s">
        <v>34</v>
      </c>
      <c r="V153" s="2" t="s">
        <v>475</v>
      </c>
      <c r="W153" s="2">
        <v>2</v>
      </c>
    </row>
    <row r="154" spans="1:23" ht="15.75" customHeight="1" x14ac:dyDescent="0.35">
      <c r="A154" s="2" t="s">
        <v>23</v>
      </c>
      <c r="L154" s="2">
        <v>154</v>
      </c>
      <c r="M154" s="2" t="s">
        <v>136</v>
      </c>
      <c r="O154" s="2" t="s">
        <v>476</v>
      </c>
      <c r="P154" s="2" t="str">
        <f ca="1">IFERROR(__xludf.DUMMYFUNCTION("GOOGLETRANSLATE(O154,""en"",""bn"")"),"ডাঃ ইন্দ্রনীল খান")</f>
        <v>ডাঃ ইন্দ্রনীল খান</v>
      </c>
      <c r="Q154" s="2" t="s">
        <v>34</v>
      </c>
      <c r="S154" s="2" t="s">
        <v>34</v>
      </c>
      <c r="V154" s="2" t="s">
        <v>477</v>
      </c>
      <c r="W154" s="2">
        <v>2</v>
      </c>
    </row>
    <row r="155" spans="1:23" ht="15.75" customHeight="1" x14ac:dyDescent="0.35">
      <c r="A155" s="2" t="s">
        <v>23</v>
      </c>
      <c r="L155" s="2">
        <v>170</v>
      </c>
      <c r="M155" s="2" t="s">
        <v>438</v>
      </c>
      <c r="O155" s="2" t="s">
        <v>478</v>
      </c>
      <c r="P155" s="2" t="str">
        <f ca="1">IFERROR(__xludf.DUMMYFUNCTION("GOOGLETRANSLATE(O155,""en"",""bn"")"),"ওম প্রকাশ জয়সওয়াল")</f>
        <v>ওম প্রকাশ জয়সওয়াল</v>
      </c>
      <c r="Q155" s="2" t="s">
        <v>41</v>
      </c>
      <c r="S155" s="2" t="s">
        <v>41</v>
      </c>
      <c r="V155" s="2" t="s">
        <v>479</v>
      </c>
      <c r="W155" s="2">
        <v>2</v>
      </c>
    </row>
    <row r="156" spans="1:23" ht="15.75" customHeight="1" x14ac:dyDescent="0.35">
      <c r="A156" s="2" t="s">
        <v>23</v>
      </c>
      <c r="L156" s="2">
        <v>129</v>
      </c>
      <c r="M156" s="2" t="s">
        <v>24</v>
      </c>
      <c r="O156" s="2" t="s">
        <v>480</v>
      </c>
      <c r="P156" s="2" t="str">
        <f ca="1">IFERROR(__xludf.DUMMYFUNCTION("GOOGLETRANSLATE(O156,""en"",""bn"")"),"মাধবী মহালদার")</f>
        <v>মাধবী মহালদার</v>
      </c>
      <c r="Q156" s="2" t="s">
        <v>34</v>
      </c>
      <c r="S156" s="2" t="s">
        <v>34</v>
      </c>
      <c r="V156" s="2" t="s">
        <v>481</v>
      </c>
      <c r="W156" s="2">
        <v>2</v>
      </c>
    </row>
    <row r="157" spans="1:23" ht="15.75" customHeight="1" x14ac:dyDescent="0.35">
      <c r="A157" s="2" t="s">
        <v>23</v>
      </c>
      <c r="L157" s="2">
        <v>128</v>
      </c>
      <c r="M157" s="2" t="s">
        <v>124</v>
      </c>
      <c r="O157" s="2" t="s">
        <v>482</v>
      </c>
      <c r="P157" s="2" t="str">
        <f ca="1">IFERROR(__xludf.DUMMYFUNCTION("GOOGLETRANSLATE(O157,""en"",""bn"")"),"নীলিমা মিস্ট্রি বিশাল")</f>
        <v>নীলিমা মিস্ট্রি বিশাল</v>
      </c>
      <c r="Q157" s="2" t="s">
        <v>26</v>
      </c>
      <c r="S157" s="2" t="s">
        <v>26</v>
      </c>
      <c r="V157" s="2" t="s">
        <v>483</v>
      </c>
      <c r="W157" s="2">
        <v>2</v>
      </c>
    </row>
    <row r="158" spans="1:23" ht="15.75" customHeight="1" x14ac:dyDescent="0.35">
      <c r="A158" s="2" t="s">
        <v>23</v>
      </c>
      <c r="L158" s="2">
        <v>198</v>
      </c>
      <c r="M158" s="2" t="s">
        <v>381</v>
      </c>
      <c r="O158" s="2" t="s">
        <v>484</v>
      </c>
      <c r="P158" s="2" t="s">
        <v>3060</v>
      </c>
      <c r="Q158" s="2" t="s">
        <v>49</v>
      </c>
      <c r="S158" s="2" t="s">
        <v>49</v>
      </c>
      <c r="V158" s="2" t="s">
        <v>485</v>
      </c>
      <c r="W158" s="2">
        <v>2</v>
      </c>
    </row>
    <row r="159" spans="1:23" ht="15.75" customHeight="1" x14ac:dyDescent="0.35">
      <c r="A159" s="2" t="s">
        <v>23</v>
      </c>
      <c r="L159" s="2">
        <v>138</v>
      </c>
      <c r="M159" s="2" t="s">
        <v>145</v>
      </c>
      <c r="O159" s="2" t="s">
        <v>486</v>
      </c>
      <c r="P159" s="2" t="str">
        <f ca="1">IFERROR(__xludf.DUMMYFUNCTION("GOOGLETRANSLATE(O159,""en"",""bn"")"),"প্রশান্ত বায়েন")</f>
        <v>প্রশান্ত বায়েন</v>
      </c>
      <c r="Q159" s="2" t="s">
        <v>34</v>
      </c>
      <c r="S159" s="2" t="s">
        <v>34</v>
      </c>
      <c r="V159" s="2" t="s">
        <v>487</v>
      </c>
      <c r="W159" s="2">
        <v>2</v>
      </c>
    </row>
    <row r="160" spans="1:23" ht="15.75" customHeight="1" x14ac:dyDescent="0.35">
      <c r="A160" s="2" t="s">
        <v>23</v>
      </c>
      <c r="L160" s="2">
        <v>200</v>
      </c>
      <c r="M160" s="2" t="s">
        <v>151</v>
      </c>
      <c r="O160" s="2" t="s">
        <v>488</v>
      </c>
      <c r="P160" s="2" t="str">
        <f ca="1">IFERROR(__xludf.DUMMYFUNCTION("GOOGLETRANSLATE(O160,""en"",""bn"")"),"ব্যাগ মিতা")</f>
        <v>ব্যাগ মিতা</v>
      </c>
      <c r="Q160" s="2" t="s">
        <v>26</v>
      </c>
      <c r="S160" s="2" t="s">
        <v>26</v>
      </c>
      <c r="V160" s="2" t="s">
        <v>489</v>
      </c>
      <c r="W160" s="2">
        <v>2</v>
      </c>
    </row>
    <row r="161" spans="1:23" ht="15.75" customHeight="1" x14ac:dyDescent="0.35">
      <c r="A161" s="2" t="s">
        <v>23</v>
      </c>
      <c r="L161" s="2">
        <v>121</v>
      </c>
      <c r="M161" s="2" t="s">
        <v>348</v>
      </c>
      <c r="O161" s="2" t="s">
        <v>490</v>
      </c>
      <c r="P161" s="2" t="str">
        <f ca="1">IFERROR(__xludf.DUMMYFUNCTION("GOOGLETRANSLATE(O161,""en"",""bn"")"),"ভাস্কর কুমার মন্ডল")</f>
        <v>ভাস্কর কুমার মন্ডল</v>
      </c>
      <c r="Q161" s="2" t="s">
        <v>34</v>
      </c>
      <c r="S161" s="2" t="s">
        <v>34</v>
      </c>
      <c r="V161" s="2" t="s">
        <v>491</v>
      </c>
      <c r="W161" s="2">
        <v>2</v>
      </c>
    </row>
    <row r="162" spans="1:23" ht="15.75" customHeight="1" x14ac:dyDescent="0.35">
      <c r="A162" s="2" t="s">
        <v>23</v>
      </c>
      <c r="L162" s="2">
        <v>103</v>
      </c>
      <c r="M162" s="2" t="s">
        <v>199</v>
      </c>
      <c r="O162" s="2" t="s">
        <v>492</v>
      </c>
      <c r="P162" s="2" t="str">
        <f ca="1">IFERROR(__xludf.DUMMYFUNCTION("GOOGLETRANSLATE(O162,""en"",""bn"")"),"শরৎচন্দ্র বিশ্বাস")</f>
        <v>শরৎচন্দ্র বিশ্বাস</v>
      </c>
      <c r="Q162" s="2" t="s">
        <v>49</v>
      </c>
      <c r="S162" s="2" t="s">
        <v>49</v>
      </c>
      <c r="V162" s="2" t="s">
        <v>493</v>
      </c>
      <c r="W162" s="2">
        <v>2</v>
      </c>
    </row>
    <row r="163" spans="1:23" ht="15.75" customHeight="1" x14ac:dyDescent="0.35">
      <c r="A163" s="2" t="s">
        <v>23</v>
      </c>
      <c r="L163" s="2">
        <v>202</v>
      </c>
      <c r="M163" s="2" t="s">
        <v>312</v>
      </c>
      <c r="O163" s="2" t="s">
        <v>494</v>
      </c>
      <c r="P163" s="2" t="str">
        <f ca="1">IFERROR(__xludf.DUMMYFUNCTION("GOOGLETRANSLATE(O163,""en"",""bn"")"),"পলাশ কুমার রায়")</f>
        <v>পলাশ কুমার রায়</v>
      </c>
      <c r="Q163" s="2" t="s">
        <v>26</v>
      </c>
      <c r="S163" s="2" t="s">
        <v>26</v>
      </c>
      <c r="V163" s="2" t="s">
        <v>495</v>
      </c>
      <c r="W163" s="2">
        <v>2</v>
      </c>
    </row>
    <row r="164" spans="1:23" ht="15.75" customHeight="1" x14ac:dyDescent="0.35">
      <c r="A164" s="2" t="s">
        <v>23</v>
      </c>
      <c r="L164" s="2">
        <v>167</v>
      </c>
      <c r="M164" s="2" t="s">
        <v>109</v>
      </c>
      <c r="O164" s="2" t="s">
        <v>496</v>
      </c>
      <c r="P164" s="2" t="str">
        <f ca="1">IFERROR(__xludf.DUMMYFUNCTION("GOOGLETRANSLATE(O164,""en"",""bn"")"),"শ্রেয়া পান্ডে")</f>
        <v>শ্রেয়া পান্ডে</v>
      </c>
      <c r="Q164" s="2" t="s">
        <v>26</v>
      </c>
      <c r="S164" s="2" t="s">
        <v>26</v>
      </c>
      <c r="V164" s="2" t="s">
        <v>497</v>
      </c>
      <c r="W164" s="2">
        <v>2</v>
      </c>
    </row>
    <row r="165" spans="1:23" ht="15.75" customHeight="1" x14ac:dyDescent="0.35">
      <c r="A165" s="2" t="s">
        <v>23</v>
      </c>
      <c r="L165" s="2">
        <v>133</v>
      </c>
      <c r="M165" s="2" t="s">
        <v>384</v>
      </c>
      <c r="O165" s="2" t="s">
        <v>498</v>
      </c>
      <c r="P165" s="2" t="str">
        <f ca="1">IFERROR(__xludf.DUMMYFUNCTION("GOOGLETRANSLATE(O165,""en"",""bn"")"),"কুতুব উদ্দিন মোল্লা")</f>
        <v>কুতুব উদ্দিন মোল্লা</v>
      </c>
      <c r="Q165" s="2" t="s">
        <v>41</v>
      </c>
      <c r="S165" s="2" t="s">
        <v>41</v>
      </c>
      <c r="V165" s="2" t="s">
        <v>499</v>
      </c>
      <c r="W165" s="2">
        <v>2</v>
      </c>
    </row>
    <row r="166" spans="1:23" ht="15.75" customHeight="1" x14ac:dyDescent="0.35">
      <c r="A166" s="2" t="s">
        <v>23</v>
      </c>
      <c r="L166" s="2">
        <v>137</v>
      </c>
      <c r="M166" s="2" t="s">
        <v>372</v>
      </c>
      <c r="O166" s="2" t="s">
        <v>500</v>
      </c>
      <c r="P166" s="2" t="str">
        <f ca="1">IFERROR(__xludf.DUMMYFUNCTION("GOOGLETRANSLATE(O166,""en"",""bn"")"),"দেবাংশু পুরকাইত")</f>
        <v>দেবাংশু পুরকাইত</v>
      </c>
      <c r="Q166" s="2" t="s">
        <v>49</v>
      </c>
      <c r="S166" s="2" t="s">
        <v>49</v>
      </c>
      <c r="V166" s="2" t="s">
        <v>501</v>
      </c>
      <c r="W166" s="2">
        <v>2</v>
      </c>
    </row>
    <row r="167" spans="1:23" ht="15.75" customHeight="1" x14ac:dyDescent="0.35">
      <c r="A167" s="2" t="s">
        <v>23</v>
      </c>
      <c r="L167" s="2">
        <v>120</v>
      </c>
      <c r="M167" s="2" t="s">
        <v>309</v>
      </c>
      <c r="O167" s="2" t="s">
        <v>502</v>
      </c>
      <c r="P167" s="2" t="str">
        <f ca="1">IFERROR(__xludf.DUMMYFUNCTION("GOOGLETRANSLATE(O167,""en"",""bn"")"),"তরুণ কান্তি ঘোষ")</f>
        <v>তরুণ কান্তি ঘোষ</v>
      </c>
      <c r="Q167" s="2" t="s">
        <v>34</v>
      </c>
      <c r="S167" s="2" t="s">
        <v>34</v>
      </c>
      <c r="V167" s="2" t="s">
        <v>503</v>
      </c>
      <c r="W167" s="2">
        <v>2</v>
      </c>
    </row>
    <row r="168" spans="1:23" ht="15.75" customHeight="1" x14ac:dyDescent="0.35">
      <c r="A168" s="2" t="s">
        <v>23</v>
      </c>
      <c r="L168" s="2">
        <v>85</v>
      </c>
      <c r="M168" s="2" t="s">
        <v>387</v>
      </c>
      <c r="O168" s="2" t="s">
        <v>504</v>
      </c>
      <c r="P168" s="2" t="str">
        <f ca="1">IFERROR(__xludf.DUMMYFUNCTION("GOOGLETRANSLATE(O168,""en"",""bn"")"),"উজ্জ্বল বিশ্বাস")</f>
        <v>উজ্জ্বল বিশ্বাস</v>
      </c>
      <c r="Q168" s="2" t="s">
        <v>26</v>
      </c>
      <c r="S168" s="2" t="s">
        <v>26</v>
      </c>
      <c r="V168" s="2" t="s">
        <v>505</v>
      </c>
      <c r="W168" s="2">
        <v>2</v>
      </c>
    </row>
    <row r="169" spans="1:23" ht="15.75" customHeight="1" x14ac:dyDescent="0.35">
      <c r="A169" s="2" t="s">
        <v>23</v>
      </c>
      <c r="L169" s="2">
        <v>125</v>
      </c>
      <c r="M169" s="2" t="s">
        <v>160</v>
      </c>
      <c r="O169" s="2" t="s">
        <v>506</v>
      </c>
      <c r="P169" s="2" t="str">
        <f ca="1">IFERROR(__xludf.DUMMYFUNCTION("GOOGLETRANSLATE(O169,""en"",""bn"")"),"মো. তৌসেফুর রহমান")</f>
        <v>মো. তৌসেফুর রহমান</v>
      </c>
      <c r="Q169" s="2" t="s">
        <v>26</v>
      </c>
      <c r="S169" s="2" t="s">
        <v>26</v>
      </c>
      <c r="V169" s="2" t="s">
        <v>507</v>
      </c>
      <c r="W169" s="2">
        <v>2</v>
      </c>
    </row>
    <row r="170" spans="1:23" ht="15.75" customHeight="1" x14ac:dyDescent="0.35">
      <c r="A170" s="2" t="s">
        <v>23</v>
      </c>
      <c r="L170" s="2">
        <v>273</v>
      </c>
      <c r="M170" s="2" t="s">
        <v>318</v>
      </c>
      <c r="O170" s="2" t="s">
        <v>508</v>
      </c>
      <c r="P170" s="2" t="str">
        <f ca="1">IFERROR(__xludf.DUMMYFUNCTION("GOOGLETRANSLATE(O170,""en"",""bn"")"),"চঞ্চল কুমার মাঝি")</f>
        <v>চঞ্চল কুমার মাঝি</v>
      </c>
      <c r="Q170" s="2" t="s">
        <v>45</v>
      </c>
      <c r="S170" s="2" t="s">
        <v>45</v>
      </c>
      <c r="V170" s="2" t="s">
        <v>509</v>
      </c>
      <c r="W170" s="2">
        <v>2</v>
      </c>
    </row>
    <row r="171" spans="1:23" ht="15.75" customHeight="1" x14ac:dyDescent="0.35">
      <c r="A171" s="2" t="s">
        <v>23</v>
      </c>
      <c r="L171" s="2">
        <v>267</v>
      </c>
      <c r="M171" s="2" t="s">
        <v>54</v>
      </c>
      <c r="O171" s="2" t="s">
        <v>510</v>
      </c>
      <c r="P171" s="2" t="str">
        <f ca="1">IFERROR(__xludf.DUMMYFUNCTION("GOOGLETRANSLATE(O171,""en"",""bn"")"),"কোনের শান্তনু")</f>
        <v>কোনের শান্তনু</v>
      </c>
      <c r="Q171" s="2" t="s">
        <v>26</v>
      </c>
      <c r="S171" s="2" t="s">
        <v>26</v>
      </c>
      <c r="V171" s="2" t="s">
        <v>511</v>
      </c>
      <c r="W171" s="2">
        <v>2</v>
      </c>
    </row>
    <row r="172" spans="1:23" ht="15.75" customHeight="1" x14ac:dyDescent="0.35">
      <c r="A172" s="2" t="s">
        <v>23</v>
      </c>
      <c r="L172" s="2">
        <v>175</v>
      </c>
      <c r="M172" s="2" t="s">
        <v>330</v>
      </c>
      <c r="O172" s="2" t="s">
        <v>512</v>
      </c>
      <c r="P172" s="2" t="str">
        <f ca="1">IFERROR(__xludf.DUMMYFUNCTION("GOOGLETRANSLATE(O172,""en"",""bn"")"),"ফরিদ মোল্লা")</f>
        <v>ফরিদ মোল্লা</v>
      </c>
      <c r="Q172" s="2" t="s">
        <v>30</v>
      </c>
      <c r="S172" s="2" t="s">
        <v>30</v>
      </c>
      <c r="V172" s="2" t="s">
        <v>513</v>
      </c>
      <c r="W172" s="2">
        <v>2</v>
      </c>
    </row>
    <row r="173" spans="1:23" ht="15.75" customHeight="1" x14ac:dyDescent="0.35">
      <c r="A173" s="2" t="s">
        <v>23</v>
      </c>
      <c r="L173" s="2">
        <v>79</v>
      </c>
      <c r="M173" s="2" t="s">
        <v>103</v>
      </c>
      <c r="O173" s="2" t="s">
        <v>514</v>
      </c>
      <c r="P173" s="2" t="str">
        <f ca="1">IFERROR(__xludf.DUMMYFUNCTION("GOOGLETRANSLATE(O173,""en"",""bn"")"),"ফজলুর রহমান শেখ")</f>
        <v>ফজলুর রহমান শেখ</v>
      </c>
      <c r="Q173" s="2" t="s">
        <v>49</v>
      </c>
      <c r="S173" s="2" t="s">
        <v>49</v>
      </c>
      <c r="V173" s="2" t="s">
        <v>515</v>
      </c>
      <c r="W173" s="2">
        <v>2</v>
      </c>
    </row>
    <row r="174" spans="1:23" ht="15.75" customHeight="1" x14ac:dyDescent="0.35">
      <c r="A174" s="2" t="s">
        <v>23</v>
      </c>
      <c r="L174" s="2">
        <v>147</v>
      </c>
      <c r="M174" s="2" t="s">
        <v>265</v>
      </c>
      <c r="O174" s="2" t="s">
        <v>516</v>
      </c>
      <c r="P174" s="2" t="str">
        <f ca="1">IFERROR(__xludf.DUMMYFUNCTION("GOOGLETRANSLATE(O174,""en"",""bn"")"),"অসীমা মন্ডল")</f>
        <v>অসীমা মন্ডল</v>
      </c>
      <c r="Q174" s="2" t="s">
        <v>49</v>
      </c>
      <c r="S174" s="2" t="s">
        <v>49</v>
      </c>
      <c r="V174" s="2" t="s">
        <v>517</v>
      </c>
      <c r="W174" s="2">
        <v>2</v>
      </c>
    </row>
    <row r="175" spans="1:23" ht="15.75" customHeight="1" x14ac:dyDescent="0.35">
      <c r="A175" s="2" t="s">
        <v>23</v>
      </c>
      <c r="L175" s="2">
        <v>101</v>
      </c>
      <c r="M175" s="2" t="s">
        <v>154</v>
      </c>
      <c r="O175" s="2" t="s">
        <v>518</v>
      </c>
      <c r="P175" s="2" t="str">
        <f ca="1">IFERROR(__xludf.DUMMYFUNCTION("GOOGLETRANSLATE(O175,""en"",""bn"")"),"তারকেশ্বর হাওলাদার")</f>
        <v>তারকেশ্বর হাওলাদার</v>
      </c>
      <c r="Q175" s="2" t="s">
        <v>49</v>
      </c>
      <c r="S175" s="2" t="s">
        <v>49</v>
      </c>
      <c r="V175" s="2" t="s">
        <v>519</v>
      </c>
      <c r="W175" s="2">
        <v>2</v>
      </c>
    </row>
    <row r="176" spans="1:23" ht="15.75" customHeight="1" x14ac:dyDescent="0.35">
      <c r="A176" s="2" t="s">
        <v>23</v>
      </c>
      <c r="L176" s="2">
        <v>136</v>
      </c>
      <c r="M176" s="2" t="s">
        <v>43</v>
      </c>
      <c r="O176" s="2" t="s">
        <v>520</v>
      </c>
      <c r="P176" s="2" t="str">
        <f ca="1">IFERROR(__xludf.DUMMYFUNCTION("GOOGLETRANSLATE(O176,""en"",""bn"")"),"আলোকে হালদার")</f>
        <v>আলোকে হালদার</v>
      </c>
      <c r="Q176" s="2" t="s">
        <v>34</v>
      </c>
      <c r="S176" s="2" t="s">
        <v>34</v>
      </c>
      <c r="V176" s="2" t="s">
        <v>521</v>
      </c>
      <c r="W176" s="2">
        <v>2</v>
      </c>
    </row>
    <row r="177" spans="1:23" ht="15.75" customHeight="1" x14ac:dyDescent="0.35">
      <c r="A177" s="2" t="s">
        <v>23</v>
      </c>
      <c r="L177" s="2">
        <v>191</v>
      </c>
      <c r="M177" s="2" t="s">
        <v>271</v>
      </c>
      <c r="O177" s="2" t="s">
        <v>522</v>
      </c>
      <c r="P177" s="2" t="str">
        <f ca="1">IFERROR(__xludf.DUMMYFUNCTION("GOOGLETRANSLATE(O177,""en"",""bn"")"),"বিকাশ গোল্ডার")</f>
        <v>বিকাশ গোল্ডার</v>
      </c>
      <c r="Q177" s="2" t="s">
        <v>45</v>
      </c>
      <c r="S177" s="2" t="s">
        <v>45</v>
      </c>
      <c r="V177" s="2" t="s">
        <v>523</v>
      </c>
      <c r="W177" s="2">
        <v>2</v>
      </c>
    </row>
    <row r="178" spans="1:23" ht="15.75" customHeight="1" x14ac:dyDescent="0.35">
      <c r="A178" s="2" t="s">
        <v>23</v>
      </c>
      <c r="L178" s="2">
        <v>108</v>
      </c>
      <c r="M178" s="2" t="s">
        <v>441</v>
      </c>
      <c r="O178" s="2" t="s">
        <v>524</v>
      </c>
      <c r="P178" s="2" t="str">
        <f ca="1">IFERROR(__xludf.DUMMYFUNCTION("GOOGLETRANSLATE(O178,""en"",""bn"")"),"রাজ চক্রবর্তী (রাজু)")</f>
        <v>রাজ চক্রবর্তী (রাজু)</v>
      </c>
      <c r="Q178" s="2" t="s">
        <v>26</v>
      </c>
      <c r="S178" s="2" t="s">
        <v>26</v>
      </c>
      <c r="V178" s="2" t="s">
        <v>525</v>
      </c>
      <c r="W178" s="2">
        <v>2</v>
      </c>
    </row>
    <row r="179" spans="1:23" ht="15.75" customHeight="1" x14ac:dyDescent="0.35">
      <c r="A179" s="2" t="s">
        <v>23</v>
      </c>
      <c r="L179" s="2">
        <v>268</v>
      </c>
      <c r="M179" s="2" t="s">
        <v>286</v>
      </c>
      <c r="O179" s="2" t="s">
        <v>526</v>
      </c>
      <c r="P179" s="2" t="str">
        <f ca="1">IFERROR(__xludf.DUMMYFUNCTION("GOOGLETRANSLATE(O179,""en"",""bn"")"),"মনোতোষ মণ্ডল")</f>
        <v>মনোতোষ মণ্ডল</v>
      </c>
      <c r="Q179" s="2" t="s">
        <v>49</v>
      </c>
      <c r="S179" s="2" t="s">
        <v>49</v>
      </c>
      <c r="V179" s="2" t="s">
        <v>527</v>
      </c>
      <c r="W179" s="2">
        <v>2</v>
      </c>
    </row>
    <row r="180" spans="1:23" ht="15.75" customHeight="1" x14ac:dyDescent="0.35">
      <c r="A180" s="2" t="s">
        <v>23</v>
      </c>
      <c r="L180" s="2">
        <v>100</v>
      </c>
      <c r="M180" s="2" t="s">
        <v>69</v>
      </c>
      <c r="O180" s="2" t="s">
        <v>528</v>
      </c>
      <c r="P180" s="2" t="str">
        <f ca="1">IFERROR(__xludf.DUMMYFUNCTION("GOOGLETRANSLATE(O180,""en"",""bn"")"),"কমলেন্দু বালা")</f>
        <v>কমলেন্দু বালা</v>
      </c>
      <c r="Q180" s="2" t="s">
        <v>49</v>
      </c>
      <c r="S180" s="2" t="s">
        <v>49</v>
      </c>
      <c r="V180" s="2" t="s">
        <v>529</v>
      </c>
      <c r="W180" s="2">
        <v>2</v>
      </c>
    </row>
    <row r="181" spans="1:23" ht="15.75" customHeight="1" x14ac:dyDescent="0.35">
      <c r="A181" s="2" t="s">
        <v>23</v>
      </c>
      <c r="L181" s="2">
        <v>122</v>
      </c>
      <c r="M181" s="2" t="s">
        <v>232</v>
      </c>
      <c r="O181" s="2" t="s">
        <v>530</v>
      </c>
      <c r="P181" s="2" t="str">
        <f ca="1">IFERROR(__xludf.DUMMYFUNCTION("GOOGLETRANSLATE(O181,""en"",""bn"")"),"রুদ্রেন্দ্র পাত্র")</f>
        <v>রুদ্রেন্দ্র পাত্র</v>
      </c>
      <c r="Q181" s="2" t="s">
        <v>34</v>
      </c>
      <c r="S181" s="2" t="s">
        <v>34</v>
      </c>
      <c r="V181" s="2" t="s">
        <v>531</v>
      </c>
      <c r="W181" s="2">
        <v>2</v>
      </c>
    </row>
    <row r="182" spans="1:23" ht="15.75" customHeight="1" x14ac:dyDescent="0.35">
      <c r="A182" s="2" t="s">
        <v>23</v>
      </c>
      <c r="L182" s="2">
        <v>131</v>
      </c>
      <c r="M182" s="2" t="s">
        <v>130</v>
      </c>
      <c r="O182" s="2" t="s">
        <v>532</v>
      </c>
      <c r="P182" s="2" t="str">
        <f ca="1">IFERROR(__xludf.DUMMYFUNCTION("GOOGLETRANSLATE(O182,""en"",""bn"")"),"নারায়ণ দাস")</f>
        <v>নারায়ণ দাস</v>
      </c>
      <c r="Q182" s="2" t="s">
        <v>45</v>
      </c>
      <c r="S182" s="2" t="s">
        <v>45</v>
      </c>
      <c r="V182" s="2" t="s">
        <v>533</v>
      </c>
      <c r="W182" s="2">
        <v>2</v>
      </c>
    </row>
    <row r="183" spans="1:23" ht="15.75" customHeight="1" x14ac:dyDescent="0.35">
      <c r="A183" s="2" t="s">
        <v>23</v>
      </c>
      <c r="L183" s="2">
        <v>144</v>
      </c>
      <c r="M183" s="2" t="s">
        <v>178</v>
      </c>
      <c r="O183" s="2" t="s">
        <v>534</v>
      </c>
      <c r="P183" s="2" t="str">
        <f ca="1">IFERROR(__xludf.DUMMYFUNCTION("GOOGLETRANSLATE(O183,""en"",""bn"")"),"জাহাঙ্গীর খান")</f>
        <v>জাহাঙ্গীর খান</v>
      </c>
      <c r="Q183" s="2" t="s">
        <v>26</v>
      </c>
      <c r="S183" s="2" t="s">
        <v>26</v>
      </c>
      <c r="V183" s="2" t="s">
        <v>535</v>
      </c>
      <c r="W183" s="2">
        <v>2</v>
      </c>
    </row>
    <row r="184" spans="1:23" ht="15.75" customHeight="1" x14ac:dyDescent="0.35">
      <c r="A184" s="2" t="s">
        <v>23</v>
      </c>
      <c r="L184" s="2">
        <v>192</v>
      </c>
      <c r="M184" s="2" t="s">
        <v>172</v>
      </c>
      <c r="O184" s="2" t="s">
        <v>536</v>
      </c>
      <c r="P184" s="2" t="str">
        <f ca="1">IFERROR(__xludf.DUMMYFUNCTION("GOOGLETRANSLATE(O184,""en"",""bn"")"),"তুসার কুমার মজুমদার")</f>
        <v>তুসার কুমার মজুমদার</v>
      </c>
      <c r="Q184" s="2" t="s">
        <v>34</v>
      </c>
      <c r="S184" s="2" t="s">
        <v>34</v>
      </c>
      <c r="V184" s="2" t="s">
        <v>537</v>
      </c>
      <c r="W184" s="2">
        <v>2</v>
      </c>
    </row>
    <row r="185" spans="1:23" ht="15.75" customHeight="1" x14ac:dyDescent="0.35">
      <c r="A185" s="2" t="s">
        <v>23</v>
      </c>
      <c r="L185" s="2">
        <v>77</v>
      </c>
      <c r="M185" s="2" t="s">
        <v>202</v>
      </c>
      <c r="O185" s="2" t="s">
        <v>538</v>
      </c>
      <c r="P185" s="2" t="str">
        <f ca="1">IFERROR(__xludf.DUMMYFUNCTION("GOOGLETRANSLATE(O185,""en"",""bn"")"),"পূজা পরজিতা রায় চৌধুরী")</f>
        <v>পূজা পরজিতা রায় চৌধুরী</v>
      </c>
      <c r="Q185" s="2" t="s">
        <v>41</v>
      </c>
      <c r="S185" s="2" t="s">
        <v>41</v>
      </c>
      <c r="V185" s="2" t="s">
        <v>539</v>
      </c>
      <c r="W185" s="2">
        <v>2</v>
      </c>
    </row>
    <row r="186" spans="1:23" ht="15.75" customHeight="1" x14ac:dyDescent="0.35">
      <c r="A186" s="2" t="s">
        <v>23</v>
      </c>
      <c r="L186" s="2">
        <v>263</v>
      </c>
      <c r="M186" s="2" t="s">
        <v>78</v>
      </c>
      <c r="O186" s="2" t="s">
        <v>293</v>
      </c>
      <c r="P186" s="2" t="str">
        <f ca="1">IFERROR(__xludf.DUMMYFUNCTION("GOOGLETRANSLATE(O186,""en"",""bn"")"),"খোকন দাস")</f>
        <v>খোকন দাস</v>
      </c>
      <c r="Q186" s="2" t="s">
        <v>49</v>
      </c>
      <c r="S186" s="2" t="s">
        <v>49</v>
      </c>
      <c r="V186" s="2" t="s">
        <v>540</v>
      </c>
      <c r="W186" s="2">
        <v>2</v>
      </c>
    </row>
    <row r="187" spans="1:23" ht="15.75" customHeight="1" x14ac:dyDescent="0.35">
      <c r="A187" s="2" t="s">
        <v>23</v>
      </c>
      <c r="L187" s="2">
        <v>113</v>
      </c>
      <c r="M187" s="2" t="s">
        <v>399</v>
      </c>
      <c r="O187" s="2" t="s">
        <v>541</v>
      </c>
      <c r="P187" s="2" t="str">
        <f ca="1">IFERROR(__xludf.DUMMYFUNCTION("GOOGLETRANSLATE(O187,""en"",""bn"")"),"সজল ঘোষ")</f>
        <v>সজল ঘোষ</v>
      </c>
      <c r="Q187" s="2" t="s">
        <v>34</v>
      </c>
      <c r="S187" s="2" t="s">
        <v>34</v>
      </c>
      <c r="V187" s="2" t="s">
        <v>542</v>
      </c>
      <c r="W187" s="2">
        <v>2</v>
      </c>
    </row>
    <row r="188" spans="1:23" ht="15.75" customHeight="1" x14ac:dyDescent="0.35">
      <c r="A188" s="2" t="s">
        <v>23</v>
      </c>
      <c r="L188" s="2">
        <v>166</v>
      </c>
      <c r="M188" s="2" t="s">
        <v>247</v>
      </c>
      <c r="O188" s="2" t="s">
        <v>543</v>
      </c>
      <c r="P188" s="2" t="str">
        <f ca="1">IFERROR(__xludf.DUMMYFUNCTION("GOOGLETRANSLATE(O188,""en"",""bn"")"),"পূর্ণা ঘোষ")</f>
        <v>পূর্ণা ঘোষ</v>
      </c>
      <c r="Q188" s="2" t="s">
        <v>41</v>
      </c>
      <c r="S188" s="2" t="s">
        <v>41</v>
      </c>
      <c r="V188" s="2" t="s">
        <v>544</v>
      </c>
      <c r="W188" s="2">
        <v>2</v>
      </c>
    </row>
    <row r="189" spans="1:23" ht="15.75" customHeight="1" x14ac:dyDescent="0.35">
      <c r="A189" s="2" t="s">
        <v>23</v>
      </c>
      <c r="L189" s="2">
        <v>193</v>
      </c>
      <c r="M189" s="2" t="s">
        <v>118</v>
      </c>
      <c r="O189" s="2" t="s">
        <v>545</v>
      </c>
      <c r="P189" s="2" t="str">
        <f ca="1">IFERROR(__xludf.DUMMYFUNCTION("GOOGLETRANSLATE(O189,""en"",""bn"")"),"বিদেশ রঞ্জন বোস")</f>
        <v>বিদেশ রঞ্জন বোস</v>
      </c>
      <c r="Q189" s="2" t="s">
        <v>26</v>
      </c>
      <c r="S189" s="2" t="s">
        <v>26</v>
      </c>
      <c r="V189" s="2" t="s">
        <v>546</v>
      </c>
      <c r="W189" s="2">
        <v>2</v>
      </c>
    </row>
    <row r="190" spans="1:23" ht="15.75" customHeight="1" x14ac:dyDescent="0.35">
      <c r="A190" s="2" t="s">
        <v>23</v>
      </c>
      <c r="L190" s="2">
        <v>86</v>
      </c>
      <c r="M190" s="2" t="s">
        <v>432</v>
      </c>
      <c r="O190" s="2" t="s">
        <v>547</v>
      </c>
      <c r="P190" s="2" t="str">
        <f ca="1">IFERROR(__xludf.DUMMYFUNCTION("GOOGLETRANSLATE(O190,""en"",""bn"")"),"প্রফুল্ল কুমার রায়")</f>
        <v>প্রফুল্ল কুমার রায়</v>
      </c>
      <c r="Q190" s="2" t="s">
        <v>49</v>
      </c>
      <c r="S190" s="2" t="s">
        <v>49</v>
      </c>
      <c r="V190" s="2" t="s">
        <v>548</v>
      </c>
      <c r="W190" s="2">
        <v>2</v>
      </c>
    </row>
    <row r="191" spans="1:23" ht="15.75" customHeight="1" x14ac:dyDescent="0.35">
      <c r="A191" s="2" t="s">
        <v>23</v>
      </c>
      <c r="L191" s="2">
        <v>96</v>
      </c>
      <c r="M191" s="2" t="s">
        <v>229</v>
      </c>
      <c r="O191" s="2" t="s">
        <v>549</v>
      </c>
      <c r="P191" s="2" t="str">
        <f ca="1">IFERROR(__xludf.DUMMYFUNCTION("GOOGLETRANSLATE(O191,""en"",""bn"")"),"ঋতুপর্ণ আধ্যা")</f>
        <v>ঋতুপর্ণ আধ্যা</v>
      </c>
      <c r="Q191" s="2" t="s">
        <v>26</v>
      </c>
      <c r="S191" s="2" t="s">
        <v>26</v>
      </c>
      <c r="V191" s="2" t="s">
        <v>550</v>
      </c>
      <c r="W191" s="2">
        <v>2</v>
      </c>
    </row>
    <row r="192" spans="1:23" ht="15.75" customHeight="1" x14ac:dyDescent="0.35">
      <c r="A192" s="2" t="s">
        <v>23</v>
      </c>
      <c r="L192" s="2">
        <v>183</v>
      </c>
      <c r="M192" s="2" t="s">
        <v>295</v>
      </c>
      <c r="O192" s="2" t="s">
        <v>551</v>
      </c>
      <c r="P192" s="2" t="str">
        <f ca="1">IFERROR(__xludf.DUMMYFUNCTION("GOOGLETRANSLATE(O192,""en"",""bn"")"),"কৌশিক রায়")</f>
        <v>কৌশিক রায়</v>
      </c>
      <c r="Q192" s="2" t="s">
        <v>41</v>
      </c>
      <c r="S192" s="2" t="s">
        <v>41</v>
      </c>
      <c r="V192" s="2" t="s">
        <v>552</v>
      </c>
      <c r="W192" s="2">
        <v>2</v>
      </c>
    </row>
    <row r="193" spans="1:23" ht="15.75" customHeight="1" x14ac:dyDescent="0.35">
      <c r="A193" s="2" t="s">
        <v>23</v>
      </c>
      <c r="L193" s="2">
        <v>261</v>
      </c>
      <c r="M193" s="2" t="s">
        <v>184</v>
      </c>
      <c r="O193" s="2" t="s">
        <v>553</v>
      </c>
      <c r="P193" s="2" t="str">
        <f ca="1">IFERROR(__xludf.DUMMYFUNCTION("GOOGLETRANSLATE(O193,""en"",""bn"")"),"মন্দিরা ডালুই")</f>
        <v>মন্দিরা ডালুই</v>
      </c>
      <c r="Q193" s="2" t="s">
        <v>26</v>
      </c>
      <c r="S193" s="2" t="s">
        <v>26</v>
      </c>
      <c r="V193" s="2" t="s">
        <v>554</v>
      </c>
      <c r="W193" s="2">
        <v>2</v>
      </c>
    </row>
    <row r="194" spans="1:23" ht="15.75" customHeight="1" x14ac:dyDescent="0.35">
      <c r="A194" s="2" t="s">
        <v>23</v>
      </c>
      <c r="L194" s="2">
        <v>114</v>
      </c>
      <c r="M194" s="2" t="s">
        <v>303</v>
      </c>
      <c r="O194" s="2" t="s">
        <v>555</v>
      </c>
      <c r="P194" s="2" t="str">
        <f ca="1">IFERROR(__xludf.DUMMYFUNCTION("GOOGLETRANSLATE(O194,""en"",""bn"")"),"ব্রাত্যব্রত বসু")</f>
        <v>ব্রাত্যব্রত বসু</v>
      </c>
      <c r="Q194" s="2" t="s">
        <v>26</v>
      </c>
      <c r="S194" s="2" t="s">
        <v>26</v>
      </c>
      <c r="V194" s="2" t="s">
        <v>556</v>
      </c>
      <c r="W194" s="2">
        <v>2</v>
      </c>
    </row>
    <row r="195" spans="1:23" ht="15.75" customHeight="1" x14ac:dyDescent="0.35">
      <c r="A195" s="2" t="s">
        <v>23</v>
      </c>
      <c r="L195" s="2">
        <v>84</v>
      </c>
      <c r="M195" s="2" t="s">
        <v>297</v>
      </c>
      <c r="O195" s="2" t="s">
        <v>557</v>
      </c>
      <c r="P195" s="2" t="str">
        <f ca="1">IFERROR(__xludf.DUMMYFUNCTION("GOOGLETRANSLATE(O195,""en"",""bn"")"),"পুণ্ডরীক্ষ্য সহ")</f>
        <v>পুণ্ডরীক্ষ্য সহ</v>
      </c>
      <c r="Q195" s="2" t="s">
        <v>26</v>
      </c>
      <c r="S195" s="2" t="s">
        <v>26</v>
      </c>
      <c r="V195" s="2" t="s">
        <v>558</v>
      </c>
      <c r="W195" s="2">
        <v>2</v>
      </c>
    </row>
    <row r="196" spans="1:23" ht="15.75" customHeight="1" x14ac:dyDescent="0.35">
      <c r="A196" s="2" t="s">
        <v>23</v>
      </c>
      <c r="L196" s="2">
        <v>259</v>
      </c>
      <c r="M196" s="2" t="s">
        <v>453</v>
      </c>
      <c r="O196" s="2" t="s">
        <v>559</v>
      </c>
      <c r="P196" s="2" t="str">
        <f ca="1">IFERROR(__xludf.DUMMYFUNCTION("GOOGLETRANSLATE(O196,""en"",""bn"")"),"অপূর্বলাল বিশ্বাস")</f>
        <v>অপূর্বলাল বিশ্বাস</v>
      </c>
      <c r="Q196" s="2" t="s">
        <v>49</v>
      </c>
      <c r="S196" s="2" t="s">
        <v>49</v>
      </c>
      <c r="V196" s="2" t="s">
        <v>560</v>
      </c>
      <c r="W196" s="2">
        <v>2</v>
      </c>
    </row>
    <row r="197" spans="1:23" ht="15.75" customHeight="1" x14ac:dyDescent="0.35">
      <c r="A197" s="2" t="s">
        <v>23</v>
      </c>
      <c r="L197" s="2">
        <v>182</v>
      </c>
      <c r="M197" s="2" t="s">
        <v>97</v>
      </c>
      <c r="O197" s="2" t="s">
        <v>561</v>
      </c>
      <c r="P197" s="2" t="str">
        <f ca="1">IFERROR(__xludf.DUMMYFUNCTION("GOOGLETRANSLATE(O197,""en"",""bn"")"),"প্রভাকর পণ্ডিত")</f>
        <v>প্রভাকর পণ্ডিত</v>
      </c>
      <c r="Q197" s="2" t="s">
        <v>34</v>
      </c>
      <c r="S197" s="2" t="s">
        <v>34</v>
      </c>
      <c r="V197" s="2" t="s">
        <v>562</v>
      </c>
      <c r="W197" s="2">
        <v>2</v>
      </c>
    </row>
    <row r="198" spans="1:23" ht="15.75" customHeight="1" x14ac:dyDescent="0.35">
      <c r="A198" s="2" t="s">
        <v>23</v>
      </c>
      <c r="L198" s="2">
        <v>156</v>
      </c>
      <c r="M198" s="2" t="s">
        <v>94</v>
      </c>
      <c r="O198" s="2" t="s">
        <v>563</v>
      </c>
      <c r="P198" s="2" t="str">
        <f ca="1">IFERROR(__xludf.DUMMYFUNCTION("GOOGLETRANSLATE(O198,""en"",""bn"")"),"ডঃ তরুণ কুমার আদাক")</f>
        <v>ডঃ তরুণ কুমার আদাক</v>
      </c>
      <c r="Q198" s="2" t="s">
        <v>34</v>
      </c>
      <c r="S198" s="2" t="s">
        <v>34</v>
      </c>
      <c r="V198" s="2" t="s">
        <v>564</v>
      </c>
      <c r="W198" s="2">
        <v>2</v>
      </c>
    </row>
    <row r="199" spans="1:23" ht="15.75" customHeight="1" x14ac:dyDescent="0.35">
      <c r="A199" s="2" t="s">
        <v>23</v>
      </c>
      <c r="L199" s="2">
        <v>132</v>
      </c>
      <c r="M199" s="2" t="s">
        <v>220</v>
      </c>
      <c r="O199" s="2" t="s">
        <v>565</v>
      </c>
      <c r="P199" s="2" t="str">
        <f ca="1">IFERROR(__xludf.DUMMYFUNCTION("GOOGLETRANSLATE(O199,""en"",""bn"")"),"প্রশান্ত খুটিয়া")</f>
        <v>প্রশান্ত খুটিয়া</v>
      </c>
      <c r="Q199" s="2" t="s">
        <v>41</v>
      </c>
      <c r="S199" s="2" t="s">
        <v>41</v>
      </c>
      <c r="V199" s="2" t="s">
        <v>566</v>
      </c>
      <c r="W199" s="2">
        <v>2</v>
      </c>
    </row>
    <row r="200" spans="1:23" ht="15.75" customHeight="1" x14ac:dyDescent="0.35">
      <c r="A200" s="2" t="s">
        <v>23</v>
      </c>
      <c r="L200" s="2">
        <v>173</v>
      </c>
      <c r="M200" s="2" t="s">
        <v>127</v>
      </c>
      <c r="O200" s="2" t="s">
        <v>567</v>
      </c>
      <c r="P200" s="2" t="str">
        <f ca="1">IFERROR(__xludf.DUMMYFUNCTION("GOOGLETRANSLATE(O200,""en"",""bn"")"),"দীপশিখা ভৌমিক")</f>
        <v>দীপশিখা ভৌমিক</v>
      </c>
      <c r="Q200" s="2" t="s">
        <v>41</v>
      </c>
      <c r="S200" s="2" t="s">
        <v>41</v>
      </c>
      <c r="V200" s="2" t="s">
        <v>568</v>
      </c>
      <c r="W200" s="2">
        <v>2</v>
      </c>
    </row>
    <row r="201" spans="1:23" ht="15.75" customHeight="1" x14ac:dyDescent="0.35">
      <c r="A201" s="2" t="s">
        <v>23</v>
      </c>
      <c r="L201" s="2">
        <v>115</v>
      </c>
      <c r="M201" s="2" t="s">
        <v>84</v>
      </c>
      <c r="O201" s="2" t="s">
        <v>569</v>
      </c>
      <c r="P201" s="2" t="str">
        <f ca="1">IFERROR(__xludf.DUMMYFUNCTION("GOOGLETRANSLATE(O201,""en"",""bn"")"),"সপ্তর্ষি দেব")</f>
        <v>সপ্তর্ষি দেব</v>
      </c>
      <c r="Q201" s="2" t="s">
        <v>45</v>
      </c>
      <c r="S201" s="2" t="s">
        <v>45</v>
      </c>
      <c r="V201" s="2" t="s">
        <v>570</v>
      </c>
      <c r="W201" s="2">
        <v>2</v>
      </c>
    </row>
    <row r="202" spans="1:23" ht="15.75" customHeight="1" x14ac:dyDescent="0.35">
      <c r="A202" s="2" t="s">
        <v>23</v>
      </c>
      <c r="L202" s="2">
        <v>177</v>
      </c>
      <c r="M202" s="2" t="s">
        <v>66</v>
      </c>
      <c r="O202" s="2" t="s">
        <v>571</v>
      </c>
      <c r="P202" s="2" t="str">
        <f ca="1">IFERROR(__xludf.DUMMYFUNCTION("GOOGLETRANSLATE(O202,""en"",""bn"")"),"কল্যাণী হালদার")</f>
        <v>কল্যাণী হালদার</v>
      </c>
      <c r="Q202" s="2" t="s">
        <v>41</v>
      </c>
      <c r="S202" s="2" t="s">
        <v>41</v>
      </c>
      <c r="V202" s="2" t="s">
        <v>572</v>
      </c>
      <c r="W202" s="2">
        <v>2</v>
      </c>
    </row>
    <row r="203" spans="1:23" ht="15.75" customHeight="1" x14ac:dyDescent="0.35">
      <c r="A203" s="2" t="s">
        <v>23</v>
      </c>
      <c r="L203" s="2">
        <v>262</v>
      </c>
      <c r="M203" s="2" t="s">
        <v>417</v>
      </c>
      <c r="O203" s="2" t="s">
        <v>573</v>
      </c>
      <c r="P203" s="2" t="str">
        <f ca="1">IFERROR(__xludf.DUMMYFUNCTION("GOOGLETRANSLATE(O203,""en"",""bn"")"),"গৌরহরি পাত্র")</f>
        <v>গৌরহরি পাত্র</v>
      </c>
      <c r="Q203" s="2" t="s">
        <v>49</v>
      </c>
      <c r="S203" s="2" t="s">
        <v>49</v>
      </c>
      <c r="V203" s="2" t="s">
        <v>574</v>
      </c>
      <c r="W203" s="2">
        <v>2</v>
      </c>
    </row>
    <row r="204" spans="1:23" ht="15.75" customHeight="1" x14ac:dyDescent="0.35">
      <c r="A204" s="2" t="s">
        <v>23</v>
      </c>
      <c r="L204" s="2">
        <v>176</v>
      </c>
      <c r="M204" s="2" t="s">
        <v>139</v>
      </c>
      <c r="O204" s="2" t="s">
        <v>575</v>
      </c>
      <c r="P204" s="2" t="str">
        <f ca="1">IFERROR(__xludf.DUMMYFUNCTION("GOOGLETRANSLATE(O204,""en"",""bn"")"),"রিতাব্রতা ব্যানার্জী")</f>
        <v>রিতাব্রতা ব্যানার্জী</v>
      </c>
      <c r="Q204" s="2" t="s">
        <v>26</v>
      </c>
      <c r="S204" s="2" t="s">
        <v>26</v>
      </c>
      <c r="V204" s="2" t="s">
        <v>576</v>
      </c>
      <c r="W204" s="2">
        <v>2</v>
      </c>
    </row>
    <row r="205" spans="1:23" ht="15.75" customHeight="1" x14ac:dyDescent="0.35">
      <c r="A205" s="2" t="s">
        <v>23</v>
      </c>
      <c r="L205" s="2">
        <v>142</v>
      </c>
      <c r="M205" s="2" t="s">
        <v>414</v>
      </c>
      <c r="O205" s="2" t="s">
        <v>577</v>
      </c>
      <c r="P205" s="2" t="str">
        <f ca="1">IFERROR(__xludf.DUMMYFUNCTION("GOOGLETRANSLATE(O205,""en"",""bn"")"),"গৌরসুন্দর ঘোষ")</f>
        <v>গৌরসুন্দর ঘোষ</v>
      </c>
      <c r="Q205" s="2" t="s">
        <v>34</v>
      </c>
      <c r="S205" s="2" t="s">
        <v>34</v>
      </c>
      <c r="V205" s="2" t="s">
        <v>578</v>
      </c>
      <c r="W205" s="2">
        <v>2</v>
      </c>
    </row>
    <row r="206" spans="1:23" ht="15.75" customHeight="1" x14ac:dyDescent="0.35">
      <c r="A206" s="2" t="s">
        <v>23</v>
      </c>
      <c r="L206" s="2">
        <v>174</v>
      </c>
      <c r="M206" s="2" t="s">
        <v>256</v>
      </c>
      <c r="O206" s="2" t="s">
        <v>579</v>
      </c>
      <c r="P206" s="2" t="str">
        <f ca="1">IFERROR(__xludf.DUMMYFUNCTION("GOOGLETRANSLATE(O206,""en"",""bn"")"),"বার্নালি ধালি নস্কর")</f>
        <v>বার্নালি ধালি নস্কর</v>
      </c>
      <c r="Q206" s="2" t="s">
        <v>34</v>
      </c>
      <c r="S206" s="2" t="s">
        <v>34</v>
      </c>
      <c r="V206" s="2" t="s">
        <v>580</v>
      </c>
      <c r="W206" s="2">
        <v>2</v>
      </c>
    </row>
    <row r="207" spans="1:23" ht="15.75" customHeight="1" x14ac:dyDescent="0.35">
      <c r="A207" s="2" t="s">
        <v>23</v>
      </c>
      <c r="L207" s="2">
        <v>264</v>
      </c>
      <c r="M207" s="2" t="s">
        <v>393</v>
      </c>
      <c r="O207" s="2" t="s">
        <v>581</v>
      </c>
      <c r="P207" s="2" t="str">
        <f ca="1">IFERROR(__xludf.DUMMYFUNCTION("GOOGLETRANSLATE(O207,""en"",""bn"")"),"দেবো প্রসাদ ব্যাগ (পোল্টু)")</f>
        <v>দেবো প্রসাদ ব্যাগ (পোল্টু)</v>
      </c>
      <c r="Q207" s="2" t="s">
        <v>26</v>
      </c>
      <c r="S207" s="2" t="s">
        <v>26</v>
      </c>
      <c r="V207" s="2" t="s">
        <v>582</v>
      </c>
      <c r="W207" s="2">
        <v>2</v>
      </c>
    </row>
    <row r="208" spans="1:23" ht="15.75" customHeight="1" x14ac:dyDescent="0.35">
      <c r="A208" s="2" t="s">
        <v>23</v>
      </c>
      <c r="L208" s="2">
        <v>168</v>
      </c>
      <c r="M208" s="2" t="s">
        <v>100</v>
      </c>
      <c r="O208" s="2" t="s">
        <v>583</v>
      </c>
      <c r="P208" s="2" t="str">
        <f ca="1">IFERROR(__xludf.DUMMYFUNCTION("GOOGLETRANSLATE(O208,""en"",""bn"")"),"দয়া রাম জয়শ্বর")</f>
        <v>দয়া রাম জয়শ্বর</v>
      </c>
      <c r="Q208" s="2" t="s">
        <v>49</v>
      </c>
      <c r="S208" s="2" t="s">
        <v>49</v>
      </c>
      <c r="V208" s="2" t="s">
        <v>584</v>
      </c>
      <c r="W208" s="2">
        <v>2</v>
      </c>
    </row>
    <row r="209" spans="1:23" ht="15.75" customHeight="1" x14ac:dyDescent="0.35">
      <c r="A209" s="2" t="s">
        <v>23</v>
      </c>
      <c r="L209" s="2">
        <v>188</v>
      </c>
      <c r="M209" s="2" t="s">
        <v>106</v>
      </c>
      <c r="O209" s="2" t="s">
        <v>585</v>
      </c>
      <c r="P209" s="2" t="str">
        <f ca="1">IFERROR(__xludf.DUMMYFUNCTION("GOOGLETRANSLATE(O209,""en"",""bn"")"),"দেবাশিস চ্যাটার্জী")</f>
        <v>দেবাশিস চ্যাটার্জী</v>
      </c>
      <c r="Q209" s="2" t="s">
        <v>45</v>
      </c>
      <c r="S209" s="2" t="s">
        <v>45</v>
      </c>
      <c r="V209" s="2" t="s">
        <v>586</v>
      </c>
      <c r="W209" s="2">
        <v>2</v>
      </c>
    </row>
    <row r="210" spans="1:23" ht="15.75" customHeight="1" x14ac:dyDescent="0.35">
      <c r="A210" s="2" t="s">
        <v>23</v>
      </c>
      <c r="L210" s="2">
        <v>117</v>
      </c>
      <c r="M210" s="2" t="s">
        <v>277</v>
      </c>
      <c r="O210" s="2" t="s">
        <v>587</v>
      </c>
      <c r="P210" s="2" t="str">
        <f ca="1">IFERROR(__xludf.DUMMYFUNCTION("GOOGLETRANSLATE(O210,""en"",""bn"")"),"তরুণজ্যোতি তেওয়ারী")</f>
        <v>তরুণজ্যোতি তেওয়ারী</v>
      </c>
      <c r="Q210" s="2" t="s">
        <v>34</v>
      </c>
      <c r="S210" s="2" t="s">
        <v>34</v>
      </c>
      <c r="V210" s="2" t="s">
        <v>588</v>
      </c>
      <c r="W210" s="2">
        <v>2</v>
      </c>
    </row>
    <row r="211" spans="1:23" ht="15.75" customHeight="1" x14ac:dyDescent="0.35">
      <c r="A211" s="2" t="s">
        <v>23</v>
      </c>
      <c r="L211" s="2">
        <v>152</v>
      </c>
      <c r="M211" s="2" t="s">
        <v>450</v>
      </c>
      <c r="O211" s="2" t="s">
        <v>589</v>
      </c>
      <c r="P211" s="2" t="str">
        <f ca="1">IFERROR(__xludf.DUMMYFUNCTION("GOOGLETRANSLATE(O211,""en"",""bn"")"),"অরূপ বিশ্বাস")</f>
        <v>অরূপ বিশ্বাস</v>
      </c>
      <c r="Q211" s="2" t="s">
        <v>26</v>
      </c>
      <c r="S211" s="2" t="s">
        <v>26</v>
      </c>
      <c r="V211" s="2" t="s">
        <v>590</v>
      </c>
      <c r="W211" s="2">
        <v>2</v>
      </c>
    </row>
    <row r="212" spans="1:23" ht="15.75" customHeight="1" x14ac:dyDescent="0.35">
      <c r="A212" s="2" t="s">
        <v>23</v>
      </c>
      <c r="L212" s="2">
        <v>271</v>
      </c>
      <c r="M212" s="2" t="s">
        <v>444</v>
      </c>
      <c r="O212" s="2" t="s">
        <v>591</v>
      </c>
      <c r="P212" s="2" t="str">
        <f ca="1">IFERROR(__xludf.DUMMYFUNCTION("GOOGLETRANSLATE(O212,""en"",""bn"")"),"সুস্মিতা প্রধান")</f>
        <v>সুস্মিতা প্রধান</v>
      </c>
      <c r="Q212" s="2" t="s">
        <v>49</v>
      </c>
      <c r="S212" s="2" t="s">
        <v>49</v>
      </c>
      <c r="V212" s="2" t="s">
        <v>592</v>
      </c>
      <c r="W212" s="2">
        <v>2</v>
      </c>
    </row>
    <row r="213" spans="1:23" ht="15.75" customHeight="1" x14ac:dyDescent="0.35">
      <c r="A213" s="2" t="s">
        <v>23</v>
      </c>
      <c r="L213" s="2">
        <v>87</v>
      </c>
      <c r="M213" s="2" t="s">
        <v>351</v>
      </c>
      <c r="O213" s="2" t="s">
        <v>593</v>
      </c>
      <c r="P213" s="2" t="str">
        <f ca="1">IFERROR(__xludf.DUMMYFUNCTION("GOOGLETRANSLATE(O213,""en"",""bn"")"),"দেবাশিস চক্রবর্তী (ডেবু)")</f>
        <v>দেবাশিস চক্রবর্তী (ডেবু)</v>
      </c>
      <c r="Q213" s="2" t="s">
        <v>45</v>
      </c>
      <c r="S213" s="2" t="s">
        <v>45</v>
      </c>
      <c r="V213" s="2" t="s">
        <v>594</v>
      </c>
      <c r="W213" s="2">
        <v>2</v>
      </c>
    </row>
    <row r="214" spans="1:23" ht="15.75" customHeight="1" x14ac:dyDescent="0.35">
      <c r="A214" s="2" t="s">
        <v>23</v>
      </c>
      <c r="L214" s="2">
        <v>146</v>
      </c>
      <c r="M214" s="2" t="s">
        <v>75</v>
      </c>
      <c r="O214" s="2" t="s">
        <v>595</v>
      </c>
      <c r="P214" s="2" t="str">
        <f ca="1">IFERROR(__xludf.DUMMYFUNCTION("GOOGLETRANSLATE(O214,""en"",""bn"")"),"অর্ঘ্য নস্কর")</f>
        <v>অর্ঘ্য নস্কর</v>
      </c>
      <c r="Q214" s="2" t="s">
        <v>41</v>
      </c>
      <c r="S214" s="2" t="s">
        <v>41</v>
      </c>
      <c r="V214" s="2" t="s">
        <v>596</v>
      </c>
      <c r="W214" s="2">
        <v>2</v>
      </c>
    </row>
    <row r="215" spans="1:23" ht="15.75" customHeight="1" x14ac:dyDescent="0.35">
      <c r="A215" s="2" t="s">
        <v>23</v>
      </c>
      <c r="L215" s="2">
        <v>141</v>
      </c>
      <c r="M215" s="2" t="s">
        <v>63</v>
      </c>
      <c r="O215" s="2" t="s">
        <v>597</v>
      </c>
      <c r="P215" s="2" t="str">
        <f ca="1">IFERROR(__xludf.DUMMYFUNCTION("GOOGLETRANSLATE(O215,""en"",""bn"")"),"উত্তম কুমার বণিক")</f>
        <v>উত্তম কুমার বণিক</v>
      </c>
      <c r="Q215" s="2" t="s">
        <v>34</v>
      </c>
      <c r="S215" s="2" t="s">
        <v>34</v>
      </c>
      <c r="V215" s="2" t="s">
        <v>598</v>
      </c>
      <c r="W215" s="2">
        <v>2</v>
      </c>
    </row>
    <row r="216" spans="1:23" ht="15.75" customHeight="1" x14ac:dyDescent="0.35">
      <c r="A216" s="2" t="s">
        <v>23</v>
      </c>
      <c r="L216" s="2">
        <v>111</v>
      </c>
      <c r="M216" s="2" t="s">
        <v>369</v>
      </c>
      <c r="O216" s="2" t="s">
        <v>599</v>
      </c>
      <c r="P216" s="2" t="str">
        <f ca="1">IFERROR(__xludf.DUMMYFUNCTION("GOOGLETRANSLATE(O216,""en"",""bn"")"),"তীর্থঙ্কর ঘোষ")</f>
        <v>তীর্থঙ্কর ঘোষ</v>
      </c>
      <c r="Q216" s="2" t="s">
        <v>26</v>
      </c>
      <c r="S216" s="2" t="s">
        <v>26</v>
      </c>
      <c r="V216" s="2" t="s">
        <v>600</v>
      </c>
      <c r="W216" s="2">
        <v>2</v>
      </c>
    </row>
    <row r="217" spans="1:23" ht="15.75" customHeight="1" x14ac:dyDescent="0.35">
      <c r="A217" s="2" t="s">
        <v>23</v>
      </c>
      <c r="L217" s="2">
        <v>265</v>
      </c>
      <c r="M217" s="2" t="s">
        <v>420</v>
      </c>
      <c r="O217" s="2" t="s">
        <v>601</v>
      </c>
      <c r="P217" s="2" t="str">
        <f ca="1">IFERROR(__xludf.DUMMYFUNCTION("GOOGLETRANSLATE(O217,""en"",""bn"")"),"প্রবীর গাঙ্গুলী")</f>
        <v>প্রবীর গাঙ্গুলী</v>
      </c>
      <c r="Q217" s="2" t="s">
        <v>41</v>
      </c>
      <c r="S217" s="2" t="s">
        <v>41</v>
      </c>
      <c r="V217" s="2" t="s">
        <v>602</v>
      </c>
      <c r="W217" s="2">
        <v>2</v>
      </c>
    </row>
    <row r="218" spans="1:23" ht="15.75" customHeight="1" x14ac:dyDescent="0.35">
      <c r="A218" s="2" t="s">
        <v>23</v>
      </c>
      <c r="L218" s="2">
        <v>127</v>
      </c>
      <c r="M218" s="2" t="s">
        <v>289</v>
      </c>
      <c r="O218" s="2" t="s">
        <v>603</v>
      </c>
      <c r="P218" s="2" t="str">
        <f ca="1">IFERROR(__xludf.DUMMYFUNCTION("GOOGLETRANSLATE(O218,""en"",""bn"")"),"ভূপাল চন্দ্র দাস")</f>
        <v>ভূপাল চন্দ্র দাস</v>
      </c>
      <c r="Q218" s="2" t="s">
        <v>41</v>
      </c>
      <c r="S218" s="2" t="s">
        <v>41</v>
      </c>
      <c r="V218" s="2" t="s">
        <v>604</v>
      </c>
      <c r="W218" s="2">
        <v>2</v>
      </c>
    </row>
    <row r="219" spans="1:23" ht="15.75" customHeight="1" x14ac:dyDescent="0.35">
      <c r="A219" s="2" t="s">
        <v>23</v>
      </c>
      <c r="L219" s="2">
        <v>80</v>
      </c>
      <c r="M219" s="2" t="s">
        <v>175</v>
      </c>
      <c r="O219" s="2" t="s">
        <v>605</v>
      </c>
      <c r="P219" s="2" t="str">
        <f ca="1">IFERROR(__xludf.DUMMYFUNCTION("GOOGLETRANSLATE(O219,""en"",""bn"")"),"বাপন ঘোষ")</f>
        <v>বাপন ঘোষ</v>
      </c>
      <c r="Q219" s="2" t="s">
        <v>34</v>
      </c>
      <c r="S219" s="2" t="s">
        <v>34</v>
      </c>
      <c r="V219" s="2" t="s">
        <v>606</v>
      </c>
      <c r="W219" s="2">
        <v>2</v>
      </c>
    </row>
    <row r="220" spans="1:23" ht="15.75" customHeight="1" x14ac:dyDescent="0.35">
      <c r="A220" s="2" t="s">
        <v>23</v>
      </c>
      <c r="L220" s="2">
        <v>270</v>
      </c>
      <c r="M220" s="2" t="s">
        <v>315</v>
      </c>
      <c r="O220" s="2" t="s">
        <v>607</v>
      </c>
      <c r="P220" s="2" t="str">
        <f ca="1">IFERROR(__xludf.DUMMYFUNCTION("GOOGLETRANSLATE(O220,""en"",""bn"")"),"কৃষ্ণ ঘোষ")</f>
        <v>কৃষ্ণ ঘোষ</v>
      </c>
      <c r="Q220" s="2" t="s">
        <v>34</v>
      </c>
      <c r="S220" s="2" t="s">
        <v>34</v>
      </c>
      <c r="V220" s="2" t="s">
        <v>608</v>
      </c>
      <c r="W220" s="2">
        <v>2</v>
      </c>
    </row>
    <row r="221" spans="1:23" ht="15.75" customHeight="1" x14ac:dyDescent="0.35">
      <c r="A221" s="2" t="s">
        <v>23</v>
      </c>
      <c r="L221" s="2">
        <v>184</v>
      </c>
      <c r="M221" s="2" t="s">
        <v>60</v>
      </c>
      <c r="O221" s="2" t="s">
        <v>609</v>
      </c>
      <c r="P221" s="2" t="str">
        <f ca="1">IFERROR(__xludf.DUMMYFUNCTION("GOOGLETRANSLATE(O221,""en"",""bn"")"),"গোবিন্দ হাজরা")</f>
        <v>গোবিন্দ হাজরা</v>
      </c>
      <c r="Q221" s="2" t="s">
        <v>34</v>
      </c>
      <c r="S221" s="2" t="s">
        <v>34</v>
      </c>
      <c r="V221" s="2" t="s">
        <v>610</v>
      </c>
      <c r="W221" s="2">
        <v>2</v>
      </c>
    </row>
    <row r="222" spans="1:23" ht="15.75" customHeight="1" x14ac:dyDescent="0.35">
      <c r="A222" s="2" t="s">
        <v>23</v>
      </c>
      <c r="L222" s="2">
        <v>126</v>
      </c>
      <c r="M222" s="2" t="s">
        <v>133</v>
      </c>
      <c r="O222" s="2" t="s">
        <v>611</v>
      </c>
      <c r="P222" s="2" t="str">
        <f ca="1">IFERROR(__xludf.DUMMYFUNCTION("GOOGLETRANSLATE(O222,""en"",""bn"")"),"বিশ্বজিৎ রায়")</f>
        <v>বিশ্বজিৎ রায়</v>
      </c>
      <c r="Q222" s="2" t="s">
        <v>41</v>
      </c>
      <c r="S222" s="2" t="s">
        <v>41</v>
      </c>
      <c r="V222" s="2" t="s">
        <v>612</v>
      </c>
      <c r="W222" s="2">
        <v>2</v>
      </c>
    </row>
    <row r="223" spans="1:23" ht="15.75" customHeight="1" x14ac:dyDescent="0.35">
      <c r="A223" s="2" t="s">
        <v>23</v>
      </c>
      <c r="L223" s="2">
        <v>82</v>
      </c>
      <c r="M223" s="2" t="s">
        <v>375</v>
      </c>
      <c r="O223" s="2" t="s">
        <v>613</v>
      </c>
      <c r="P223" s="2" t="str">
        <f ca="1">IFERROR(__xludf.DUMMYFUNCTION("GOOGLETRANSLATE(O223,""en"",""bn"")"),"জেবার শেখ")</f>
        <v>জেবার শেখ</v>
      </c>
      <c r="Q223" s="2" t="s">
        <v>26</v>
      </c>
      <c r="S223" s="2" t="s">
        <v>26</v>
      </c>
      <c r="V223" s="2" t="s">
        <v>614</v>
      </c>
      <c r="W223" s="2">
        <v>2</v>
      </c>
    </row>
    <row r="224" spans="1:23" ht="15.75" customHeight="1" x14ac:dyDescent="0.35">
      <c r="A224" s="2" t="s">
        <v>23</v>
      </c>
      <c r="L224" s="2">
        <v>197</v>
      </c>
      <c r="M224" s="2" t="s">
        <v>360</v>
      </c>
      <c r="O224" s="2" t="s">
        <v>615</v>
      </c>
      <c r="P224" s="2" t="str">
        <f ca="1">IFERROR(__xludf.DUMMYFUNCTION("GOOGLETRANSLATE(O224,""en"",""bn"")"),"জ্যোতি কুমারী দাস")</f>
        <v>জ্যোতি কুমারী দাস</v>
      </c>
      <c r="Q224" s="2" t="s">
        <v>41</v>
      </c>
      <c r="S224" s="2" t="s">
        <v>41</v>
      </c>
      <c r="V224" s="2" t="s">
        <v>616</v>
      </c>
      <c r="W224" s="2">
        <v>2</v>
      </c>
    </row>
    <row r="225" spans="1:23" ht="15.75" customHeight="1" x14ac:dyDescent="0.35">
      <c r="A225" s="2" t="s">
        <v>23</v>
      </c>
      <c r="L225" s="2">
        <v>149</v>
      </c>
      <c r="M225" s="2" t="s">
        <v>51</v>
      </c>
      <c r="O225" s="2" t="s">
        <v>617</v>
      </c>
      <c r="P225" s="2" t="str">
        <f ca="1">IFERROR(__xludf.DUMMYFUNCTION("GOOGLETRANSLATE(O225,""en"",""bn"")"),"ব্যানার্জি সন্দীপ")</f>
        <v>ব্যানার্জি সন্দীপ</v>
      </c>
      <c r="Q225" s="2" t="s">
        <v>34</v>
      </c>
      <c r="S225" s="2" t="s">
        <v>34</v>
      </c>
      <c r="V225" s="2" t="s">
        <v>618</v>
      </c>
      <c r="W225" s="2">
        <v>2</v>
      </c>
    </row>
    <row r="226" spans="1:23" ht="15.75" customHeight="1" x14ac:dyDescent="0.35">
      <c r="A226" s="2" t="s">
        <v>23</v>
      </c>
      <c r="L226" s="2">
        <v>130</v>
      </c>
      <c r="M226" s="2" t="s">
        <v>447</v>
      </c>
      <c r="O226" s="2" t="s">
        <v>619</v>
      </c>
      <c r="P226" s="2" t="str">
        <f ca="1">IFERROR(__xludf.DUMMYFUNCTION("GOOGLETRANSLATE(O226,""en"",""bn"")"),"বেচারাম দাস")</f>
        <v>বেচারাম দাস</v>
      </c>
      <c r="Q226" s="2" t="s">
        <v>49</v>
      </c>
      <c r="S226" s="2" t="s">
        <v>49</v>
      </c>
      <c r="V226" s="2" t="s">
        <v>620</v>
      </c>
      <c r="W226" s="2">
        <v>2</v>
      </c>
    </row>
    <row r="227" spans="1:23" ht="15.75" customHeight="1" x14ac:dyDescent="0.35">
      <c r="A227" s="2" t="s">
        <v>23</v>
      </c>
      <c r="L227" s="2">
        <v>150</v>
      </c>
      <c r="M227" s="2" t="s">
        <v>181</v>
      </c>
      <c r="O227" s="2" t="s">
        <v>621</v>
      </c>
      <c r="P227" s="2" t="str">
        <f ca="1">IFERROR(__xludf.DUMMYFUNCTION("GOOGLETRANSLATE(O227,""en"",""bn"")"),"বিকাশরঞ্জন ভট্টাচার্য")</f>
        <v>বিকাশরঞ্জন ভট্টাচার্য</v>
      </c>
      <c r="Q227" s="2" t="s">
        <v>45</v>
      </c>
      <c r="S227" s="2" t="s">
        <v>45</v>
      </c>
      <c r="V227" s="2" t="s">
        <v>622</v>
      </c>
      <c r="W227" s="2">
        <v>2</v>
      </c>
    </row>
    <row r="228" spans="1:23" ht="15.75" customHeight="1" x14ac:dyDescent="0.35">
      <c r="A228" s="2" t="s">
        <v>23</v>
      </c>
      <c r="L228" s="2">
        <v>272</v>
      </c>
      <c r="M228" s="2" t="s">
        <v>357</v>
      </c>
      <c r="O228" s="2" t="s">
        <v>623</v>
      </c>
      <c r="P228" s="2" t="str">
        <f ca="1">IFERROR(__xludf.DUMMYFUNCTION("GOOGLETRANSLATE(O228,""en"",""bn"")"),"জগদীশ দত্ত")</f>
        <v>জগদীশ দত্ত</v>
      </c>
      <c r="Q228" s="2" t="s">
        <v>41</v>
      </c>
      <c r="S228" s="2" t="s">
        <v>41</v>
      </c>
      <c r="V228" s="2" t="s">
        <v>624</v>
      </c>
      <c r="W228" s="2">
        <v>2</v>
      </c>
    </row>
    <row r="229" spans="1:23" ht="15.75" customHeight="1" x14ac:dyDescent="0.35">
      <c r="A229" s="2" t="s">
        <v>23</v>
      </c>
      <c r="L229" s="2">
        <v>159</v>
      </c>
      <c r="M229" s="2" t="s">
        <v>157</v>
      </c>
      <c r="O229" s="2" t="s">
        <v>625</v>
      </c>
      <c r="P229" s="2" t="str">
        <f ca="1">IFERROR(__xludf.DUMMYFUNCTION("GOOGLETRANSLATE(O229,""en"",""bn"")"),"মমতা ব্যানার্জী")</f>
        <v>মমতা ব্যানার্জী</v>
      </c>
      <c r="Q229" s="2" t="s">
        <v>26</v>
      </c>
      <c r="S229" s="2" t="s">
        <v>26</v>
      </c>
      <c r="V229" s="2" t="s">
        <v>626</v>
      </c>
      <c r="W229" s="2">
        <v>2</v>
      </c>
    </row>
    <row r="230" spans="1:23" ht="15.75" customHeight="1" x14ac:dyDescent="0.35">
      <c r="A230" s="2" t="s">
        <v>23</v>
      </c>
      <c r="L230" s="2">
        <v>106</v>
      </c>
      <c r="M230" s="2" t="s">
        <v>283</v>
      </c>
      <c r="O230" s="2" t="s">
        <v>627</v>
      </c>
      <c r="P230" s="2" t="str">
        <f ca="1">IFERROR(__xludf.DUMMYFUNCTION("GOOGLETRANSLATE(O230,""en"",""bn"")"),"পারভেজ আহমেদ খান")</f>
        <v>পারভেজ আহমেদ খান</v>
      </c>
      <c r="Q230" s="2" t="s">
        <v>30</v>
      </c>
      <c r="S230" s="2" t="s">
        <v>30</v>
      </c>
      <c r="V230" s="2" t="s">
        <v>628</v>
      </c>
      <c r="W230" s="2">
        <v>2</v>
      </c>
    </row>
    <row r="231" spans="1:23" ht="15.75" customHeight="1" x14ac:dyDescent="0.35">
      <c r="A231" s="2" t="s">
        <v>23</v>
      </c>
      <c r="L231" s="2">
        <v>178</v>
      </c>
      <c r="M231" s="2" t="s">
        <v>226</v>
      </c>
      <c r="O231" s="2" t="s">
        <v>629</v>
      </c>
      <c r="P231" s="2" t="str">
        <f ca="1">IFERROR(__xludf.DUMMYFUNCTION("GOOGLETRANSLATE(O231,""en"",""bn"")"),"ইনতাজ আলী শাহ")</f>
        <v>ইনতাজ আলী শাহ</v>
      </c>
      <c r="Q231" s="2" t="s">
        <v>41</v>
      </c>
      <c r="S231" s="2" t="s">
        <v>41</v>
      </c>
      <c r="V231" s="2" t="s">
        <v>630</v>
      </c>
      <c r="W231" s="2">
        <v>2</v>
      </c>
    </row>
    <row r="232" spans="1:23" ht="15.75" customHeight="1" x14ac:dyDescent="0.35">
      <c r="A232" s="2" t="s">
        <v>23</v>
      </c>
      <c r="L232" s="2">
        <v>118</v>
      </c>
      <c r="M232" s="2" t="s">
        <v>121</v>
      </c>
      <c r="O232" s="2" t="s">
        <v>631</v>
      </c>
      <c r="P232" s="2" t="str">
        <f ca="1">IFERROR(__xludf.DUMMYFUNCTION("GOOGLETRANSLATE(O232,""en"",""bn"")"),"অনিন্দ্য ব্যানার্জী")</f>
        <v>অনিন্দ্য ব্যানার্জী</v>
      </c>
      <c r="Q232" s="2" t="s">
        <v>34</v>
      </c>
      <c r="S232" s="2" t="s">
        <v>34</v>
      </c>
      <c r="V232" s="2" t="s">
        <v>632</v>
      </c>
      <c r="W232" s="2">
        <v>2</v>
      </c>
    </row>
    <row r="233" spans="1:23" ht="15.75" customHeight="1" x14ac:dyDescent="0.35">
      <c r="A233" s="2" t="s">
        <v>23</v>
      </c>
      <c r="L233" s="2">
        <v>97</v>
      </c>
      <c r="M233" s="2" t="s">
        <v>423</v>
      </c>
      <c r="O233" s="2" t="s">
        <v>633</v>
      </c>
      <c r="P233" s="2" t="str">
        <f ca="1">IFERROR(__xludf.DUMMYFUNCTION("GOOGLETRANSLATE(O233,""en"",""bn"")"),"নরত্তম বিশ্বাস")</f>
        <v>নরত্তম বিশ্বাস</v>
      </c>
      <c r="Q233" s="2" t="s">
        <v>26</v>
      </c>
      <c r="S233" s="2" t="s">
        <v>26</v>
      </c>
      <c r="V233" s="2" t="s">
        <v>634</v>
      </c>
      <c r="W233" s="2">
        <v>2</v>
      </c>
    </row>
    <row r="234" spans="1:23" ht="15.75" customHeight="1" x14ac:dyDescent="0.35">
      <c r="A234" s="2" t="s">
        <v>23</v>
      </c>
      <c r="L234" s="2">
        <v>171</v>
      </c>
      <c r="M234" s="2" t="s">
        <v>87</v>
      </c>
      <c r="O234" s="2" t="s">
        <v>635</v>
      </c>
      <c r="P234" s="2" t="str">
        <f ca="1">IFERROR(__xludf.DUMMYFUNCTION("GOOGLETRANSLATE(O234,""en"",""bn"")"),"অরূপ রায়")</f>
        <v>অরূপ রায়</v>
      </c>
      <c r="Q234" s="2" t="s">
        <v>26</v>
      </c>
      <c r="S234" s="2" t="s">
        <v>26</v>
      </c>
      <c r="V234" s="2" t="s">
        <v>636</v>
      </c>
      <c r="W234" s="2">
        <v>2</v>
      </c>
    </row>
    <row r="235" spans="1:23" ht="15.75" customHeight="1" x14ac:dyDescent="0.35">
      <c r="A235" s="2" t="s">
        <v>23</v>
      </c>
      <c r="L235" s="2">
        <v>180</v>
      </c>
      <c r="M235" s="2" t="s">
        <v>324</v>
      </c>
      <c r="O235" s="2" t="s">
        <v>637</v>
      </c>
      <c r="P235" s="2" t="str">
        <f ca="1">IFERROR(__xludf.DUMMYFUNCTION("GOOGLETRANSLATE(O235,""en"",""bn"")"),"প্রমাণাংশু রানা")</f>
        <v>প্রমাণাংশু রানা</v>
      </c>
      <c r="Q235" s="2" t="s">
        <v>34</v>
      </c>
      <c r="S235" s="2" t="s">
        <v>34</v>
      </c>
      <c r="V235" s="2" t="s">
        <v>638</v>
      </c>
      <c r="W235" s="2">
        <v>2</v>
      </c>
    </row>
    <row r="236" spans="1:23" ht="15.75" customHeight="1" x14ac:dyDescent="0.35">
      <c r="A236" s="2" t="s">
        <v>23</v>
      </c>
      <c r="L236" s="2">
        <v>274</v>
      </c>
      <c r="M236" s="2" t="s">
        <v>366</v>
      </c>
      <c r="O236" s="2" t="s">
        <v>639</v>
      </c>
      <c r="P236" s="2" t="str">
        <f ca="1">IFERROR(__xludf.DUMMYFUNCTION("GOOGLETRANSLATE(O236,""en"",""bn"")"),"কিশোর বিশ্বাস")</f>
        <v>কিশোর বিশ্বাস</v>
      </c>
      <c r="Q236" s="2" t="s">
        <v>49</v>
      </c>
      <c r="S236" s="2" t="s">
        <v>49</v>
      </c>
      <c r="V236" s="2" t="s">
        <v>640</v>
      </c>
      <c r="W236" s="2">
        <v>2</v>
      </c>
    </row>
    <row r="237" spans="1:23" ht="15.75" customHeight="1" x14ac:dyDescent="0.35">
      <c r="A237" s="2" t="s">
        <v>23</v>
      </c>
      <c r="L237" s="2">
        <v>139</v>
      </c>
      <c r="M237" s="2" t="s">
        <v>238</v>
      </c>
      <c r="O237" s="2" t="s">
        <v>641</v>
      </c>
      <c r="P237" s="2" t="str">
        <f ca="1">IFERROR(__xludf.DUMMYFUNCTION("GOOGLETRANSLATE(O237,""en"",""bn"")"),"এমডি বাহারুল ইসলাম")</f>
        <v>এমডি বাহারুল ইসলাম</v>
      </c>
      <c r="Q237" s="2" t="s">
        <v>26</v>
      </c>
      <c r="S237" s="2" t="s">
        <v>26</v>
      </c>
      <c r="V237" s="2" t="s">
        <v>642</v>
      </c>
      <c r="W237" s="2">
        <v>2</v>
      </c>
    </row>
    <row r="238" spans="1:23" ht="15.75" customHeight="1" x14ac:dyDescent="0.35">
      <c r="A238" s="2" t="s">
        <v>23</v>
      </c>
      <c r="L238" s="2">
        <v>89</v>
      </c>
      <c r="M238" s="2" t="s">
        <v>426</v>
      </c>
      <c r="O238" s="2" t="s">
        <v>643</v>
      </c>
      <c r="P238" s="2" t="str">
        <f ca="1">IFERROR(__xludf.DUMMYFUNCTION("GOOGLETRANSLATE(O238,""en"",""bn"")"),"নিত্যা গোপাল মন্ডল")</f>
        <v>নিত্যা গোপাল মন্ডল</v>
      </c>
      <c r="Q238" s="2" t="s">
        <v>41</v>
      </c>
      <c r="S238" s="2" t="s">
        <v>41</v>
      </c>
      <c r="V238" s="2" t="s">
        <v>644</v>
      </c>
      <c r="W238" s="2">
        <v>2</v>
      </c>
    </row>
    <row r="239" spans="1:23" ht="15.75" customHeight="1" x14ac:dyDescent="0.35">
      <c r="A239" s="2" t="s">
        <v>23</v>
      </c>
      <c r="L239" s="2">
        <v>199</v>
      </c>
      <c r="M239" s="2" t="s">
        <v>244</v>
      </c>
      <c r="O239" s="2" t="s">
        <v>645</v>
      </c>
      <c r="P239" s="2" t="str">
        <f ca="1">IFERROR(__xludf.DUMMYFUNCTION("GOOGLETRANSLATE(O239,""en"",""bn"")"),"বিমান ঘোষ")</f>
        <v>বিমান ঘোষ</v>
      </c>
      <c r="Q239" s="2" t="s">
        <v>34</v>
      </c>
      <c r="S239" s="2" t="s">
        <v>34</v>
      </c>
      <c r="V239" s="2" t="s">
        <v>646</v>
      </c>
      <c r="W239" s="2">
        <v>2</v>
      </c>
    </row>
    <row r="240" spans="1:23" ht="15.75" customHeight="1" x14ac:dyDescent="0.35">
      <c r="A240" s="2" t="s">
        <v>23</v>
      </c>
      <c r="L240" s="2">
        <v>201</v>
      </c>
      <c r="M240" s="2" t="s">
        <v>339</v>
      </c>
      <c r="O240" s="2" t="s">
        <v>647</v>
      </c>
      <c r="P240" s="2" t="str">
        <f ca="1">IFERROR(__xludf.DUMMYFUNCTION("GOOGLETRANSLATE(O240,""en"",""bn"")"),"প্রশান্ত দিগার")</f>
        <v>প্রশান্ত দিগার</v>
      </c>
      <c r="Q240" s="2" t="s">
        <v>34</v>
      </c>
      <c r="S240" s="2" t="s">
        <v>34</v>
      </c>
      <c r="V240" s="2" t="s">
        <v>648</v>
      </c>
      <c r="W240" s="2">
        <v>2</v>
      </c>
    </row>
    <row r="241" spans="1:23" ht="15.75" customHeight="1" x14ac:dyDescent="0.35">
      <c r="A241" s="2" t="s">
        <v>23</v>
      </c>
      <c r="L241" s="2">
        <v>260</v>
      </c>
      <c r="M241" s="2" t="s">
        <v>292</v>
      </c>
      <c r="O241" s="2" t="s">
        <v>649</v>
      </c>
      <c r="P241" s="2" t="str">
        <f ca="1">IFERROR(__xludf.DUMMYFUNCTION("GOOGLETRANSLATE(O241,""en"",""bn"")"),"গৌরব সমাদ্দার")</f>
        <v>গৌরব সমাদ্দার</v>
      </c>
      <c r="Q241" s="2" t="s">
        <v>41</v>
      </c>
      <c r="S241" s="2" t="s">
        <v>41</v>
      </c>
      <c r="V241" s="2" t="s">
        <v>650</v>
      </c>
      <c r="W241" s="2">
        <v>2</v>
      </c>
    </row>
    <row r="242" spans="1:23" ht="15.75" customHeight="1" x14ac:dyDescent="0.35">
      <c r="A242" s="2" t="s">
        <v>23</v>
      </c>
      <c r="L242" s="2">
        <v>110</v>
      </c>
      <c r="M242" s="2" t="s">
        <v>259</v>
      </c>
      <c r="O242" s="2" t="s">
        <v>651</v>
      </c>
      <c r="P242" s="2" t="str">
        <f ca="1">IFERROR(__xludf.DUMMYFUNCTION("GOOGLETRANSLATE(O242,""en"",""bn"")"),"দীপসিতা ধর")</f>
        <v>দীপসিতা ধর</v>
      </c>
      <c r="Q242" s="2" t="s">
        <v>45</v>
      </c>
      <c r="S242" s="2" t="s">
        <v>45</v>
      </c>
      <c r="V242" s="2" t="s">
        <v>652</v>
      </c>
      <c r="W242" s="2">
        <v>2</v>
      </c>
    </row>
    <row r="243" spans="1:23" ht="15.75" customHeight="1" x14ac:dyDescent="0.35">
      <c r="A243" s="2" t="s">
        <v>23</v>
      </c>
      <c r="L243" s="2">
        <v>148</v>
      </c>
      <c r="M243" s="2" t="s">
        <v>408</v>
      </c>
      <c r="O243" s="2" t="s">
        <v>653</v>
      </c>
      <c r="P243" s="2" t="str">
        <f ca="1">IFERROR(__xludf.DUMMYFUNCTION("GOOGLETRANSLATE(O243,""en"",""bn"")"),"মাহবুবুল ইসলাম")</f>
        <v>মাহবুবুল ইসলাম</v>
      </c>
      <c r="Q243" s="2" t="s">
        <v>41</v>
      </c>
      <c r="S243" s="2" t="s">
        <v>41</v>
      </c>
      <c r="V243" s="2" t="s">
        <v>654</v>
      </c>
      <c r="W243" s="2">
        <v>2</v>
      </c>
    </row>
    <row r="244" spans="1:23" ht="15.75" customHeight="1" x14ac:dyDescent="0.35">
      <c r="A244" s="2" t="s">
        <v>23</v>
      </c>
      <c r="L244" s="2">
        <v>102</v>
      </c>
      <c r="M244" s="2" t="s">
        <v>169</v>
      </c>
      <c r="O244" s="2" t="s">
        <v>655</v>
      </c>
      <c r="P244" s="2" t="str">
        <f ca="1">IFERROR(__xludf.DUMMYFUNCTION("GOOGLETRANSLATE(O244,""en"",""bn"")"),"মোহাম্মদ কাসেম সিদ্দিক")</f>
        <v>মোহাম্মদ কাসেম সিদ্দিক</v>
      </c>
      <c r="Q244" s="2" t="s">
        <v>26</v>
      </c>
      <c r="S244" s="2" t="s">
        <v>26</v>
      </c>
      <c r="V244" s="2" t="s">
        <v>656</v>
      </c>
      <c r="W244" s="2">
        <v>2</v>
      </c>
    </row>
    <row r="245" spans="1:23" ht="15.75" customHeight="1" x14ac:dyDescent="0.35">
      <c r="A245" s="2" t="s">
        <v>23</v>
      </c>
      <c r="L245" s="2">
        <v>153</v>
      </c>
      <c r="M245" s="2" t="s">
        <v>345</v>
      </c>
      <c r="O245" s="2" t="s">
        <v>657</v>
      </c>
      <c r="P245" s="2" t="str">
        <f ca="1">IFERROR(__xludf.DUMMYFUNCTION("GOOGLETRANSLATE(O245,""en"",""bn"")"),"ডঃ নীলায় মজুমদার")</f>
        <v>ডঃ নীলায় মজুমদার</v>
      </c>
      <c r="Q245" s="2" t="s">
        <v>45</v>
      </c>
      <c r="S245" s="2" t="s">
        <v>45</v>
      </c>
      <c r="V245" s="2" t="s">
        <v>658</v>
      </c>
      <c r="W245" s="2">
        <v>2</v>
      </c>
    </row>
    <row r="246" spans="1:23" ht="15.75" customHeight="1" x14ac:dyDescent="0.35">
      <c r="A246" s="2" t="s">
        <v>23</v>
      </c>
      <c r="L246" s="2">
        <v>163</v>
      </c>
      <c r="M246" s="2" t="s">
        <v>363</v>
      </c>
      <c r="O246" s="2" t="s">
        <v>659</v>
      </c>
      <c r="P246" s="2" t="str">
        <f ca="1">IFERROR(__xludf.DUMMYFUNCTION("GOOGLETRANSLATE(O246,""en"",""bn"")"),"কাশিফ রেজা")</f>
        <v>কাশিফ রেজা</v>
      </c>
      <c r="Q246" s="2" t="s">
        <v>41</v>
      </c>
      <c r="S246" s="2" t="s">
        <v>41</v>
      </c>
      <c r="V246" s="2" t="s">
        <v>660</v>
      </c>
      <c r="W246" s="2">
        <v>2</v>
      </c>
    </row>
    <row r="247" spans="1:23" ht="15.75" customHeight="1" x14ac:dyDescent="0.35">
      <c r="A247" s="2" t="s">
        <v>23</v>
      </c>
      <c r="L247" s="2">
        <v>186</v>
      </c>
      <c r="M247" s="2" t="s">
        <v>250</v>
      </c>
      <c r="O247" s="2" t="s">
        <v>661</v>
      </c>
      <c r="P247" s="2" t="str">
        <f ca="1">IFERROR(__xludf.DUMMYFUNCTION("GOOGLETRANSLATE(O247,""en"",""bn"")"),"নবনীতা চক্রবর্তী")</f>
        <v>নবনীতা চক্রবর্তী</v>
      </c>
      <c r="Q247" s="2" t="s">
        <v>45</v>
      </c>
      <c r="S247" s="2" t="s">
        <v>45</v>
      </c>
      <c r="V247" s="2" t="s">
        <v>662</v>
      </c>
      <c r="W247" s="2">
        <v>2</v>
      </c>
    </row>
    <row r="248" spans="1:23" ht="15.75" customHeight="1" x14ac:dyDescent="0.35">
      <c r="A248" s="2" t="s">
        <v>23</v>
      </c>
      <c r="L248" s="2">
        <v>266</v>
      </c>
      <c r="M248" s="2" t="s">
        <v>214</v>
      </c>
      <c r="O248" s="2" t="s">
        <v>663</v>
      </c>
      <c r="P248" s="2" t="str">
        <f ca="1">IFERROR(__xludf.DUMMYFUNCTION("GOOGLETRANSLATE(O248,""en"",""bn"")"),"মামনি মন্ডল (রায়)")</f>
        <v>মামনি মন্ডল (রায়)</v>
      </c>
      <c r="Q248" s="2" t="s">
        <v>45</v>
      </c>
      <c r="S248" s="2" t="s">
        <v>45</v>
      </c>
      <c r="V248" s="2" t="s">
        <v>664</v>
      </c>
      <c r="W248" s="2">
        <v>2</v>
      </c>
    </row>
    <row r="249" spans="1:23" ht="15.75" customHeight="1" x14ac:dyDescent="0.35">
      <c r="A249" s="2" t="s">
        <v>23</v>
      </c>
      <c r="L249" s="2">
        <v>124</v>
      </c>
      <c r="M249" s="2" t="s">
        <v>190</v>
      </c>
      <c r="O249" s="2" t="s">
        <v>665</v>
      </c>
      <c r="P249" s="2" t="str">
        <f ca="1">IFERROR(__xludf.DUMMYFUNCTION("GOOGLETRANSLATE(O249,""en"",""bn"")"),"আমিরুল গাজী")</f>
        <v>আমিরুল গাজী</v>
      </c>
      <c r="Q249" s="2" t="s">
        <v>49</v>
      </c>
      <c r="S249" s="2" t="s">
        <v>49</v>
      </c>
      <c r="V249" s="2" t="s">
        <v>666</v>
      </c>
      <c r="W249" s="2">
        <v>2</v>
      </c>
    </row>
    <row r="250" spans="1:23" ht="15.75" customHeight="1" x14ac:dyDescent="0.35">
      <c r="A250" s="2" t="s">
        <v>23</v>
      </c>
      <c r="L250" s="2">
        <v>269</v>
      </c>
      <c r="M250" s="2" t="s">
        <v>378</v>
      </c>
      <c r="O250" s="2" t="s">
        <v>667</v>
      </c>
      <c r="P250" s="2" t="str">
        <f ca="1">IFERROR(__xludf.DUMMYFUNCTION("GOOGLETRANSLATE(O250,""en"",""bn"")"),"গোপাল চট্টোপাধ্যায়")</f>
        <v>গোপাল চট্টোপাধ্যায়</v>
      </c>
      <c r="Q250" s="2" t="s">
        <v>34</v>
      </c>
      <c r="S250" s="2" t="s">
        <v>34</v>
      </c>
      <c r="V250" s="2" t="s">
        <v>668</v>
      </c>
      <c r="W250" s="2">
        <v>2</v>
      </c>
    </row>
    <row r="251" spans="1:23" ht="15.75" customHeight="1" x14ac:dyDescent="0.35">
      <c r="A251" s="2" t="s">
        <v>23</v>
      </c>
      <c r="L251" s="2">
        <v>189</v>
      </c>
      <c r="M251" s="2" t="s">
        <v>223</v>
      </c>
      <c r="O251" s="2" t="s">
        <v>669</v>
      </c>
      <c r="P251" s="2" t="str">
        <f ca="1">IFERROR(__xludf.DUMMYFUNCTION("GOOGLETRANSLATE(O251,""en"",""bn"")"),"দীপঞ্জন কুমার গুহ")</f>
        <v>দীপঞ্জন কুমার গুহ</v>
      </c>
      <c r="Q251" s="2" t="s">
        <v>34</v>
      </c>
      <c r="S251" s="2" t="s">
        <v>34</v>
      </c>
      <c r="V251" s="2" t="s">
        <v>670</v>
      </c>
      <c r="W251" s="2">
        <v>2</v>
      </c>
    </row>
    <row r="252" spans="1:23" ht="15.75" customHeight="1" x14ac:dyDescent="0.35">
      <c r="A252" s="2" t="s">
        <v>23</v>
      </c>
      <c r="L252" s="2">
        <v>92</v>
      </c>
      <c r="M252" s="2" t="s">
        <v>321</v>
      </c>
      <c r="O252" s="2" t="s">
        <v>671</v>
      </c>
      <c r="P252" s="2" t="str">
        <f ca="1">IFERROR(__xludf.DUMMYFUNCTION("GOOGLETRANSLATE(O252,""en"",""bn"")"),"অনুপম বিশ্বাস")</f>
        <v>অনুপম বিশ্বাস</v>
      </c>
      <c r="Q252" s="2" t="s">
        <v>34</v>
      </c>
      <c r="S252" s="2" t="s">
        <v>34</v>
      </c>
      <c r="V252" s="2" t="s">
        <v>672</v>
      </c>
      <c r="W252" s="2">
        <v>2</v>
      </c>
    </row>
    <row r="253" spans="1:23" ht="15.75" customHeight="1" x14ac:dyDescent="0.35">
      <c r="A253" s="2" t="s">
        <v>23</v>
      </c>
      <c r="L253" s="2">
        <v>98</v>
      </c>
      <c r="M253" s="2" t="s">
        <v>115</v>
      </c>
      <c r="O253" s="2" t="s">
        <v>673</v>
      </c>
      <c r="P253" s="2" t="str">
        <f ca="1">IFERROR(__xludf.DUMMYFUNCTION("GOOGLETRANSLATE(O253,""en"",""bn"")"),"বিশ্বজিৎ মন্ডল")</f>
        <v>বিশ্বজিৎ মন্ডল</v>
      </c>
      <c r="Q253" s="2" t="s">
        <v>45</v>
      </c>
      <c r="S253" s="2" t="s">
        <v>45</v>
      </c>
      <c r="V253" s="2" t="s">
        <v>674</v>
      </c>
      <c r="W253" s="2">
        <v>2</v>
      </c>
    </row>
    <row r="254" spans="1:23" ht="15.75" customHeight="1" x14ac:dyDescent="0.35">
      <c r="A254" s="2" t="s">
        <v>23</v>
      </c>
      <c r="L254" s="2">
        <v>140</v>
      </c>
      <c r="M254" s="2" t="s">
        <v>429</v>
      </c>
      <c r="O254" s="2" t="s">
        <v>675</v>
      </c>
      <c r="P254" s="2" t="str">
        <f ca="1">IFERROR(__xludf.DUMMYFUNCTION("GOOGLETRANSLATE(O254,""en"",""bn"")"),"অসিত লাল নাগ")</f>
        <v>অসিত লাল নাগ</v>
      </c>
      <c r="Q254" s="2" t="s">
        <v>41</v>
      </c>
      <c r="S254" s="2" t="s">
        <v>41</v>
      </c>
      <c r="V254" s="2" t="s">
        <v>676</v>
      </c>
      <c r="W254" s="2">
        <v>2</v>
      </c>
    </row>
    <row r="255" spans="1:23" ht="15.75" customHeight="1" x14ac:dyDescent="0.35">
      <c r="A255" s="2" t="s">
        <v>23</v>
      </c>
      <c r="L255" s="2">
        <v>109</v>
      </c>
      <c r="M255" s="2" t="s">
        <v>336</v>
      </c>
      <c r="O255" s="2" t="s">
        <v>677</v>
      </c>
      <c r="P255" s="2" t="str">
        <f ca="1">IFERROR(__xludf.DUMMYFUNCTION("GOOGLETRANSLATE(O255,""en"",""bn"")"),"জয়দেব ঘোষ")</f>
        <v>জয়দেব ঘোষ</v>
      </c>
      <c r="Q255" s="2" t="s">
        <v>41</v>
      </c>
      <c r="S255" s="2" t="s">
        <v>41</v>
      </c>
      <c r="V255" s="2" t="s">
        <v>678</v>
      </c>
      <c r="W255" s="2">
        <v>2</v>
      </c>
    </row>
    <row r="256" spans="1:23" ht="15.75" customHeight="1" x14ac:dyDescent="0.35">
      <c r="A256" s="2" t="s">
        <v>23</v>
      </c>
      <c r="L256" s="2">
        <v>99</v>
      </c>
      <c r="M256" s="2" t="s">
        <v>268</v>
      </c>
      <c r="O256" s="2" t="s">
        <v>679</v>
      </c>
      <c r="P256" s="2" t="str">
        <f ca="1">IFERROR(__xludf.DUMMYFUNCTION("GOOGLETRANSLATE(O256,""en"",""bn"")"),"গোপাল দাস")</f>
        <v>গোপাল দাস</v>
      </c>
      <c r="Q256" s="2" t="s">
        <v>49</v>
      </c>
      <c r="S256" s="2" t="s">
        <v>49</v>
      </c>
      <c r="V256" s="2" t="s">
        <v>680</v>
      </c>
      <c r="W256" s="2">
        <v>2</v>
      </c>
    </row>
    <row r="257" spans="1:23" ht="15.75" customHeight="1" x14ac:dyDescent="0.35">
      <c r="A257" s="2" t="s">
        <v>23</v>
      </c>
      <c r="L257" s="2">
        <v>135</v>
      </c>
      <c r="M257" s="2" t="s">
        <v>333</v>
      </c>
      <c r="O257" s="2" t="s">
        <v>681</v>
      </c>
      <c r="P257" s="2" t="str">
        <f ca="1">IFERROR(__xludf.DUMMYFUNCTION("GOOGLETRANSLATE(O257,""en"",""bn"")"),"জয়দেব হালদার S/O - কার্তিক চন্দ্র হালদার")</f>
        <v>জয়দেব হালদার S/O - কার্তিক চন্দ্র হালদার</v>
      </c>
      <c r="Q257" s="2" t="s">
        <v>26</v>
      </c>
      <c r="S257" s="2" t="s">
        <v>26</v>
      </c>
      <c r="V257" s="2" t="s">
        <v>682</v>
      </c>
      <c r="W257" s="2">
        <v>2</v>
      </c>
    </row>
    <row r="258" spans="1:23" ht="15.75" customHeight="1" x14ac:dyDescent="0.35">
      <c r="A258" s="2" t="s">
        <v>23</v>
      </c>
      <c r="L258" s="2">
        <v>187</v>
      </c>
      <c r="M258" s="2" t="s">
        <v>405</v>
      </c>
      <c r="O258" s="2" t="s">
        <v>683</v>
      </c>
      <c r="P258" s="2" t="str">
        <f ca="1">IFERROR(__xludf.DUMMYFUNCTION("GOOGLETRANSLATE(O258,""en"",""bn"")"),"চন্দ্রনাথ ব্যানার্জী")</f>
        <v>চন্দ্রনাথ ব্যানার্জী</v>
      </c>
      <c r="Q258" s="2" t="s">
        <v>45</v>
      </c>
      <c r="S258" s="2" t="s">
        <v>45</v>
      </c>
      <c r="V258" s="2" t="s">
        <v>684</v>
      </c>
      <c r="W258" s="2">
        <v>2</v>
      </c>
    </row>
    <row r="259" spans="1:23" ht="15.75" customHeight="1" x14ac:dyDescent="0.35">
      <c r="A259" s="2" t="s">
        <v>23</v>
      </c>
      <c r="L259" s="2">
        <v>91</v>
      </c>
      <c r="M259" s="2" t="s">
        <v>211</v>
      </c>
      <c r="O259" s="2" t="s">
        <v>685</v>
      </c>
      <c r="P259" s="2" t="str">
        <f ca="1">IFERROR(__xludf.DUMMYFUNCTION("GOOGLETRANSLATE(O259,""en"",""bn"")"),"ব্যাঙ্কিমচন্দ্র ঘোষ")</f>
        <v>ব্যাঙ্কিমচন্দ্র ঘোষ</v>
      </c>
      <c r="Q259" s="2" t="s">
        <v>34</v>
      </c>
      <c r="S259" s="2" t="s">
        <v>34</v>
      </c>
      <c r="V259" s="2" t="s">
        <v>686</v>
      </c>
      <c r="W259" s="2">
        <v>2</v>
      </c>
    </row>
    <row r="260" spans="1:23" ht="15.75" customHeight="1" x14ac:dyDescent="0.35">
      <c r="A260" s="2" t="s">
        <v>23</v>
      </c>
      <c r="L260" s="2">
        <v>94</v>
      </c>
      <c r="M260" s="2" t="s">
        <v>253</v>
      </c>
      <c r="O260" s="2" t="s">
        <v>687</v>
      </c>
      <c r="P260" s="2" t="str">
        <f ca="1">IFERROR(__xludf.DUMMYFUNCTION("GOOGLETRANSLATE(O260,""en"",""bn"")"),"গৌতম মালো")</f>
        <v>গৌতম মালো</v>
      </c>
      <c r="Q260" s="2" t="s">
        <v>49</v>
      </c>
      <c r="S260" s="2" t="s">
        <v>49</v>
      </c>
      <c r="V260" s="2" t="s">
        <v>688</v>
      </c>
      <c r="W260" s="2">
        <v>2</v>
      </c>
    </row>
    <row r="261" spans="1:23" ht="15.75" customHeight="1" x14ac:dyDescent="0.35">
      <c r="A261" s="2" t="s">
        <v>23</v>
      </c>
      <c r="L261" s="2">
        <v>83</v>
      </c>
      <c r="M261" s="2" t="s">
        <v>354</v>
      </c>
      <c r="O261" s="2" t="s">
        <v>689</v>
      </c>
      <c r="P261" s="2" t="str">
        <f ca="1">IFERROR(__xludf.DUMMYFUNCTION("GOOGLETRANSLATE(O261,""en"",""bn"")"),"আরঘ্য গন")</f>
        <v>আরঘ্য গন</v>
      </c>
      <c r="Q261" s="2" t="s">
        <v>41</v>
      </c>
      <c r="S261" s="2" t="s">
        <v>41</v>
      </c>
      <c r="V261" s="2" t="s">
        <v>690</v>
      </c>
      <c r="W261" s="2">
        <v>2</v>
      </c>
    </row>
    <row r="262" spans="1:23" ht="15.75" customHeight="1" x14ac:dyDescent="0.35">
      <c r="A262" s="2" t="s">
        <v>23</v>
      </c>
      <c r="L262" s="2">
        <v>93</v>
      </c>
      <c r="M262" s="2" t="s">
        <v>187</v>
      </c>
      <c r="O262" s="2" t="s">
        <v>691</v>
      </c>
      <c r="P262" s="2" t="str">
        <f ca="1">IFERROR(__xludf.DUMMYFUNCTION("GOOGLETRANSLATE(O262,""en"",""bn"")"),"বিপ্লব বিশ্বাস")</f>
        <v>বিপ্লব বিশ্বাস</v>
      </c>
      <c r="Q262" s="2" t="s">
        <v>49</v>
      </c>
      <c r="S262" s="2" t="s">
        <v>49</v>
      </c>
      <c r="V262" s="2" t="s">
        <v>692</v>
      </c>
      <c r="W262" s="2">
        <v>2</v>
      </c>
    </row>
    <row r="263" spans="1:23" ht="15.75" customHeight="1" x14ac:dyDescent="0.35">
      <c r="A263" s="2" t="s">
        <v>23</v>
      </c>
      <c r="L263" s="2">
        <v>172</v>
      </c>
      <c r="M263" s="2" t="s">
        <v>28</v>
      </c>
      <c r="O263" s="2" t="s">
        <v>693</v>
      </c>
      <c r="P263" s="2" t="str">
        <f ca="1">IFERROR(__xludf.DUMMYFUNCTION("GOOGLETRANSLATE(O263,""en"",""bn"")"),"বিমলেশ কুমার হেলা")</f>
        <v>বিমলেশ কুমার হেলা</v>
      </c>
      <c r="Q263" s="2" t="s">
        <v>49</v>
      </c>
      <c r="S263" s="2" t="s">
        <v>49</v>
      </c>
      <c r="V263" s="2" t="s">
        <v>694</v>
      </c>
      <c r="W263" s="2">
        <v>2</v>
      </c>
    </row>
    <row r="264" spans="1:23" ht="15.75" customHeight="1" x14ac:dyDescent="0.35">
      <c r="A264" s="2" t="s">
        <v>23</v>
      </c>
      <c r="L264" s="2">
        <v>158</v>
      </c>
      <c r="M264" s="2" t="s">
        <v>57</v>
      </c>
      <c r="O264" s="2" t="s">
        <v>695</v>
      </c>
      <c r="P264" s="2" t="str">
        <f ca="1">IFERROR(__xludf.DUMMYFUNCTION("GOOGLETRANSLATE(O264,""en"",""bn"")"),"ফাইয়াজ আহমেদ খান")</f>
        <v>ফাইয়াজ আহমেদ খান</v>
      </c>
      <c r="Q264" s="2" t="s">
        <v>45</v>
      </c>
      <c r="S264" s="2" t="s">
        <v>45</v>
      </c>
      <c r="V264" s="2" t="s">
        <v>696</v>
      </c>
      <c r="W264" s="2">
        <v>2</v>
      </c>
    </row>
    <row r="265" spans="1:23" ht="15.75" customHeight="1" x14ac:dyDescent="0.35">
      <c r="A265" s="2" t="s">
        <v>23</v>
      </c>
      <c r="L265" s="2">
        <v>143</v>
      </c>
      <c r="M265" s="2" t="s">
        <v>163</v>
      </c>
      <c r="O265" s="2" t="s">
        <v>697</v>
      </c>
      <c r="P265" s="2" t="str">
        <f ca="1">IFERROR(__xludf.DUMMYFUNCTION("GOOGLETRANSLATE(O265,""en"",""bn"")"),"দীপক কুমার হালদার")</f>
        <v>দীপক কুমার হালদার</v>
      </c>
      <c r="Q265" s="2" t="s">
        <v>34</v>
      </c>
      <c r="S265" s="2" t="s">
        <v>34</v>
      </c>
      <c r="V265" s="2" t="s">
        <v>698</v>
      </c>
      <c r="W265" s="2">
        <v>2</v>
      </c>
    </row>
    <row r="266" spans="1:23" ht="15.75" customHeight="1" x14ac:dyDescent="0.35">
      <c r="A266" s="2" t="s">
        <v>23</v>
      </c>
      <c r="L266" s="2">
        <v>88</v>
      </c>
      <c r="M266" s="2" t="s">
        <v>306</v>
      </c>
      <c r="O266" s="2" t="s">
        <v>699</v>
      </c>
      <c r="P266" s="2" t="str">
        <f ca="1">IFERROR(__xludf.DUMMYFUNCTION("GOOGLETRANSLATE(O266,""en"",""bn"")"),"দুলাল বিশ্বাস")</f>
        <v>দুলাল বিশ্বাস</v>
      </c>
      <c r="Q266" s="2" t="s">
        <v>49</v>
      </c>
      <c r="S266" s="2" t="s">
        <v>49</v>
      </c>
      <c r="V266" s="2" t="s">
        <v>700</v>
      </c>
      <c r="W266" s="2">
        <v>2</v>
      </c>
    </row>
    <row r="267" spans="1:23" ht="15.75" customHeight="1" x14ac:dyDescent="0.35">
      <c r="A267" s="2" t="s">
        <v>23</v>
      </c>
      <c r="L267" s="2">
        <v>185</v>
      </c>
      <c r="M267" s="2" t="s">
        <v>241</v>
      </c>
      <c r="O267" s="2" t="s">
        <v>701</v>
      </c>
      <c r="P267" s="2" t="str">
        <f ca="1">IFERROR(__xludf.DUMMYFUNCTION("GOOGLETRANSLATE(O267,""en"",""bn"")"),"মিনাক্ষী মুখার্জি")</f>
        <v>মিনাক্ষী মুখার্জি</v>
      </c>
      <c r="Q267" s="2" t="s">
        <v>45</v>
      </c>
      <c r="S267" s="2" t="s">
        <v>45</v>
      </c>
      <c r="V267" s="2" t="s">
        <v>702</v>
      </c>
      <c r="W267" s="2">
        <v>2</v>
      </c>
    </row>
    <row r="268" spans="1:23" ht="15.75" customHeight="1" x14ac:dyDescent="0.35">
      <c r="A268" s="2" t="s">
        <v>23</v>
      </c>
      <c r="L268" s="2">
        <v>78</v>
      </c>
      <c r="M268" s="2" t="s">
        <v>47</v>
      </c>
      <c r="O268" s="2" t="s">
        <v>703</v>
      </c>
      <c r="P268" s="2" t="str">
        <f ca="1">IFERROR(__xludf.DUMMYFUNCTION("GOOGLETRANSLATE(O268,""en"",""bn"")"),"জ্যোতির্ময় সরকার")</f>
        <v>জ্যোতির্ময় সরকার</v>
      </c>
      <c r="Q268" s="2" t="s">
        <v>41</v>
      </c>
      <c r="S268" s="2" t="s">
        <v>41</v>
      </c>
      <c r="V268" s="2" t="s">
        <v>704</v>
      </c>
      <c r="W268" s="2">
        <v>2</v>
      </c>
    </row>
    <row r="269" spans="1:23" ht="15.75" customHeight="1" x14ac:dyDescent="0.35">
      <c r="A269" s="2" t="s">
        <v>23</v>
      </c>
      <c r="L269" s="2">
        <v>161</v>
      </c>
      <c r="M269" s="2" t="s">
        <v>112</v>
      </c>
      <c r="O269" s="2" t="s">
        <v>705</v>
      </c>
      <c r="P269" s="2" t="str">
        <f ca="1">IFERROR(__xludf.DUMMYFUNCTION("GOOGLETRANSLATE(O269,""en"",""bn"")"),"দোলা সরকার")</f>
        <v>দোলা সরকার</v>
      </c>
      <c r="Q269" s="2" t="s">
        <v>49</v>
      </c>
      <c r="S269" s="2" t="s">
        <v>49</v>
      </c>
      <c r="V269" s="2" t="s">
        <v>706</v>
      </c>
      <c r="W269" s="2">
        <v>2</v>
      </c>
    </row>
    <row r="270" spans="1:23" ht="15.75" customHeight="1" x14ac:dyDescent="0.35">
      <c r="A270" s="2" t="s">
        <v>23</v>
      </c>
      <c r="L270" s="2">
        <v>160</v>
      </c>
      <c r="M270" s="2" t="s">
        <v>72</v>
      </c>
      <c r="O270" s="2" t="s">
        <v>707</v>
      </c>
      <c r="P270" s="2" t="str">
        <f ca="1">IFERROR(__xludf.DUMMYFUNCTION("GOOGLETRANSLATE(O270,""en"",""bn"")"),"দাসগুপ্ত স্বপ্ন")</f>
        <v>দাসগুপ্ত স্বপ্ন</v>
      </c>
      <c r="Q270" s="2" t="s">
        <v>34</v>
      </c>
      <c r="S270" s="2" t="s">
        <v>34</v>
      </c>
      <c r="V270" s="2" t="s">
        <v>708</v>
      </c>
      <c r="W270" s="2">
        <v>2</v>
      </c>
    </row>
    <row r="271" spans="1:23" ht="15.75" customHeight="1" x14ac:dyDescent="0.35">
      <c r="A271" s="2" t="s">
        <v>23</v>
      </c>
      <c r="L271" s="2">
        <v>169</v>
      </c>
      <c r="M271" s="2" t="s">
        <v>90</v>
      </c>
      <c r="O271" s="2" t="s">
        <v>709</v>
      </c>
      <c r="P271" s="2" t="str">
        <f ca="1">IFERROR(__xludf.DUMMYFUNCTION("GOOGLETRANSLATE(O271,""en"",""bn"")"),"শঙ্কর মৈত্র")</f>
        <v>শঙ্কর মৈত্র</v>
      </c>
      <c r="Q271" s="2" t="s">
        <v>45</v>
      </c>
      <c r="S271" s="2" t="s">
        <v>45</v>
      </c>
      <c r="V271" s="2" t="s">
        <v>710</v>
      </c>
      <c r="W271" s="2">
        <v>2</v>
      </c>
    </row>
    <row r="272" spans="1:23" ht="15.75" customHeight="1" x14ac:dyDescent="0.35">
      <c r="A272" s="2" t="s">
        <v>23</v>
      </c>
      <c r="L272" s="2">
        <v>179</v>
      </c>
      <c r="M272" s="2" t="s">
        <v>435</v>
      </c>
      <c r="O272" s="2" t="s">
        <v>711</v>
      </c>
      <c r="P272" s="2" t="str">
        <f ca="1">IFERROR(__xludf.DUMMYFUNCTION("GOOGLETRANSLATE(O272,""en"",""bn"")"),"নাদেবাসি জানা")</f>
        <v>নাদেবাসি জানা</v>
      </c>
      <c r="Q272" s="2" t="s">
        <v>26</v>
      </c>
      <c r="S272" s="2" t="s">
        <v>26</v>
      </c>
      <c r="V272" s="2" t="s">
        <v>712</v>
      </c>
      <c r="W272" s="2">
        <v>2</v>
      </c>
    </row>
    <row r="273" spans="1:23" ht="15.75" customHeight="1" x14ac:dyDescent="0.35">
      <c r="A273" s="2" t="s">
        <v>23</v>
      </c>
      <c r="L273" s="2">
        <v>165</v>
      </c>
      <c r="M273" s="2" t="s">
        <v>390</v>
      </c>
      <c r="O273" s="2" t="s">
        <v>713</v>
      </c>
      <c r="P273" s="2" t="str">
        <f ca="1">IFERROR(__xludf.DUMMYFUNCTION("GOOGLETRANSLATE(O273,""en"",""bn"")"),"দীপক সিং")</f>
        <v>দীপক সিং</v>
      </c>
      <c r="Q273" s="2" t="s">
        <v>41</v>
      </c>
      <c r="S273" s="2" t="s">
        <v>41</v>
      </c>
      <c r="V273" s="2" t="s">
        <v>714</v>
      </c>
      <c r="W273" s="2">
        <v>2</v>
      </c>
    </row>
    <row r="274" spans="1:23" ht="15.75" customHeight="1" x14ac:dyDescent="0.35">
      <c r="A274" s="2" t="s">
        <v>23</v>
      </c>
      <c r="L274" s="2">
        <v>134</v>
      </c>
      <c r="M274" s="2" t="s">
        <v>274</v>
      </c>
      <c r="O274" s="2" t="s">
        <v>715</v>
      </c>
      <c r="P274" s="2" t="str">
        <f ca="1">IFERROR(__xludf.DUMMYFUNCTION("GOOGLETRANSLATE(O274,""en"",""bn"")"),"তাপস মন্ডল, শিবপ্রসাদ মন্ডলের পুত্র")</f>
        <v>তাপস মন্ডল, শিবপ্রসাদ মন্ডলের পুত্র</v>
      </c>
      <c r="Q274" s="2" t="s">
        <v>26</v>
      </c>
      <c r="S274" s="2" t="s">
        <v>26</v>
      </c>
      <c r="V274" s="2" t="s">
        <v>716</v>
      </c>
      <c r="W274" s="2">
        <v>2</v>
      </c>
    </row>
    <row r="275" spans="1:23" ht="15.75" customHeight="1" x14ac:dyDescent="0.35">
      <c r="A275" s="2" t="s">
        <v>23</v>
      </c>
      <c r="L275" s="2">
        <v>162</v>
      </c>
      <c r="M275" s="2" t="s">
        <v>411</v>
      </c>
      <c r="O275" s="2" t="s">
        <v>717</v>
      </c>
      <c r="P275" s="2" t="str">
        <f ca="1">IFERROR(__xludf.DUMMYFUNCTION("GOOGLETRANSLATE(O275,""en"",""bn"")"),"মানস সরকার")</f>
        <v>মানস সরকার</v>
      </c>
      <c r="Q275" s="2" t="s">
        <v>41</v>
      </c>
      <c r="S275" s="2" t="s">
        <v>41</v>
      </c>
      <c r="V275" s="2" t="s">
        <v>718</v>
      </c>
      <c r="W275" s="2">
        <v>2</v>
      </c>
    </row>
    <row r="276" spans="1:23" ht="15.75" customHeight="1" x14ac:dyDescent="0.35">
      <c r="A276" s="2" t="s">
        <v>23</v>
      </c>
      <c r="L276" s="2">
        <v>145</v>
      </c>
      <c r="M276" s="2" t="s">
        <v>166</v>
      </c>
      <c r="O276" s="2" t="s">
        <v>719</v>
      </c>
      <c r="P276" s="2" t="str">
        <f ca="1">IFERROR(__xludf.DUMMYFUNCTION("GOOGLETRANSLATE(O276,""en"",""bn"")"),"গৌতম পাল")</f>
        <v>গৌতম পাল</v>
      </c>
      <c r="Q276" s="2" t="s">
        <v>45</v>
      </c>
      <c r="S276" s="2" t="s">
        <v>45</v>
      </c>
      <c r="V276" s="2" t="s">
        <v>720</v>
      </c>
      <c r="W276" s="2">
        <v>2</v>
      </c>
    </row>
    <row r="277" spans="1:23" ht="15.75" customHeight="1" x14ac:dyDescent="0.35">
      <c r="A277" s="2" t="s">
        <v>23</v>
      </c>
      <c r="L277" s="2">
        <v>95</v>
      </c>
      <c r="M277" s="2" t="s">
        <v>142</v>
      </c>
      <c r="O277" s="2" t="s">
        <v>721</v>
      </c>
      <c r="P277" s="2" t="str">
        <f ca="1">IFERROR(__xludf.DUMMYFUNCTION("GOOGLETRANSLATE(O277,""en"",""bn"")"),"নীলঞ্জন সাহা (বাপি)")</f>
        <v>নীলঞ্জন সাহা (বাপি)</v>
      </c>
      <c r="Q277" s="2" t="s">
        <v>41</v>
      </c>
      <c r="S277" s="2" t="s">
        <v>41</v>
      </c>
      <c r="V277" s="2" t="s">
        <v>722</v>
      </c>
      <c r="W277" s="2">
        <v>2</v>
      </c>
    </row>
    <row r="278" spans="1:23" ht="15.75" customHeight="1" x14ac:dyDescent="0.35">
      <c r="A278" s="2" t="s">
        <v>23</v>
      </c>
      <c r="L278" s="2">
        <v>164</v>
      </c>
      <c r="M278" s="2" t="s">
        <v>402</v>
      </c>
      <c r="O278" s="2" t="s">
        <v>723</v>
      </c>
      <c r="P278" s="2" t="str">
        <f ca="1">IFERROR(__xludf.DUMMYFUNCTION("GOOGLETRANSLATE(O278,""en"",""bn"")"),"পারমিতা রায়")</f>
        <v>পারমিতা রায়</v>
      </c>
      <c r="Q278" s="2" t="s">
        <v>45</v>
      </c>
      <c r="S278" s="2" t="s">
        <v>45</v>
      </c>
      <c r="V278" s="2" t="s">
        <v>724</v>
      </c>
      <c r="W278" s="2">
        <v>2</v>
      </c>
    </row>
    <row r="279" spans="1:23" ht="15.75" customHeight="1" x14ac:dyDescent="0.35">
      <c r="A279" s="2" t="s">
        <v>23</v>
      </c>
      <c r="L279" s="2">
        <v>190</v>
      </c>
      <c r="M279" s="2" t="s">
        <v>300</v>
      </c>
      <c r="O279" s="2" t="s">
        <v>725</v>
      </c>
      <c r="P279" s="2" t="str">
        <f ca="1">IFERROR(__xludf.DUMMYFUNCTION("GOOGLETRANSLATE(O279,""en"",""bn"")"),"ব্রিজ নন্দন প্রসাদ")</f>
        <v>ব্রিজ নন্দন প্রসাদ</v>
      </c>
      <c r="Q279" s="2" t="s">
        <v>49</v>
      </c>
      <c r="S279" s="2" t="s">
        <v>49</v>
      </c>
      <c r="V279" s="2" t="s">
        <v>726</v>
      </c>
      <c r="W279" s="2">
        <v>2</v>
      </c>
    </row>
    <row r="280" spans="1:23" ht="15.75" customHeight="1" x14ac:dyDescent="0.35">
      <c r="A280" s="2" t="s">
        <v>23</v>
      </c>
      <c r="L280" s="2">
        <v>155</v>
      </c>
      <c r="M280" s="2" t="s">
        <v>262</v>
      </c>
      <c r="O280" s="2" t="s">
        <v>727</v>
      </c>
      <c r="P280" s="2" t="str">
        <f ca="1">IFERROR(__xludf.DUMMYFUNCTION("GOOGLETRANSLATE(O280,""en"",""bn"")"),"তামানাথ ভৌমিক")</f>
        <v>তামানাথ ভৌমিক</v>
      </c>
      <c r="Q280" s="2" t="s">
        <v>34</v>
      </c>
      <c r="S280" s="2" t="s">
        <v>34</v>
      </c>
      <c r="V280" s="2" t="s">
        <v>728</v>
      </c>
      <c r="W280" s="2">
        <v>2</v>
      </c>
    </row>
    <row r="281" spans="1:23" ht="15.75" customHeight="1" x14ac:dyDescent="0.35">
      <c r="A281" s="2" t="s">
        <v>23</v>
      </c>
      <c r="L281" s="2">
        <v>194</v>
      </c>
      <c r="M281" s="2" t="s">
        <v>205</v>
      </c>
      <c r="O281" s="2" t="s">
        <v>729</v>
      </c>
      <c r="P281" s="2" t="str">
        <f ca="1">IFERROR(__xludf.DUMMYFUNCTION("GOOGLETRANSLATE(O281,""en"",""bn"")"),"আসিফ আলী")</f>
        <v>আসিফ আলী</v>
      </c>
      <c r="Q281" s="2" t="s">
        <v>45</v>
      </c>
      <c r="S281" s="2" t="s">
        <v>45</v>
      </c>
      <c r="V281" s="2" t="s">
        <v>730</v>
      </c>
      <c r="W281" s="2">
        <v>2</v>
      </c>
    </row>
    <row r="282" spans="1:23" ht="15.75" customHeight="1" x14ac:dyDescent="0.35">
      <c r="A282" s="2" t="s">
        <v>23</v>
      </c>
      <c r="L282" s="2">
        <v>105</v>
      </c>
      <c r="M282" s="2" t="s">
        <v>342</v>
      </c>
      <c r="O282" s="2" t="s">
        <v>731</v>
      </c>
      <c r="P282" s="2" t="str">
        <f ca="1">IFERROR(__xludf.DUMMYFUNCTION("GOOGLETRANSLATE(O282,""en"",""bn"")"),"অ্যাশ নারায়ণ সিং")</f>
        <v>অ্যাশ নারায়ণ সিং</v>
      </c>
      <c r="Q282" s="2" t="s">
        <v>45</v>
      </c>
      <c r="S282" s="2" t="s">
        <v>45</v>
      </c>
      <c r="V282" s="2" t="s">
        <v>732</v>
      </c>
      <c r="W282" s="2">
        <v>2</v>
      </c>
    </row>
    <row r="283" spans="1:23" ht="15.75" customHeight="1" x14ac:dyDescent="0.35">
      <c r="A283" s="2" t="s">
        <v>23</v>
      </c>
      <c r="L283" s="2">
        <v>119</v>
      </c>
      <c r="M283" s="2" t="s">
        <v>327</v>
      </c>
      <c r="O283" s="2" t="s">
        <v>733</v>
      </c>
      <c r="P283" s="2" t="str">
        <f ca="1">IFERROR(__xludf.DUMMYFUNCTION("GOOGLETRANSLATE(O283,""en"",""bn"")"),"প্রদীপ গায়েন")</f>
        <v>প্রদীপ গায়েন</v>
      </c>
      <c r="Q283" s="2" t="s">
        <v>49</v>
      </c>
      <c r="S283" s="2" t="s">
        <v>49</v>
      </c>
      <c r="V283" s="2" t="s">
        <v>734</v>
      </c>
      <c r="W283" s="2">
        <v>2</v>
      </c>
    </row>
    <row r="284" spans="1:23" ht="15.75" customHeight="1" x14ac:dyDescent="0.35">
      <c r="A284" s="2" t="s">
        <v>23</v>
      </c>
      <c r="L284" s="2">
        <v>116</v>
      </c>
      <c r="M284" s="2" t="s">
        <v>39</v>
      </c>
      <c r="O284" s="2" t="s">
        <v>735</v>
      </c>
      <c r="P284" s="2" t="str">
        <f ca="1">IFERROR(__xludf.DUMMYFUNCTION("GOOGLETRANSLATE(O284,""en"",""bn"")"),"শারদওয়াত মুখার্জি")</f>
        <v>শারদওয়াত মুখার্জি</v>
      </c>
      <c r="Q284" s="2" t="s">
        <v>34</v>
      </c>
      <c r="S284" s="2" t="s">
        <v>34</v>
      </c>
      <c r="V284" s="2" t="s">
        <v>736</v>
      </c>
      <c r="W284" s="2">
        <v>2</v>
      </c>
    </row>
    <row r="285" spans="1:23" ht="15.75" customHeight="1" x14ac:dyDescent="0.35">
      <c r="A285" s="2" t="s">
        <v>23</v>
      </c>
      <c r="L285" s="2">
        <v>181</v>
      </c>
      <c r="M285" s="2" t="s">
        <v>193</v>
      </c>
      <c r="O285" s="2" t="s">
        <v>737</v>
      </c>
      <c r="P285" s="2" t="str">
        <f ca="1">IFERROR(__xludf.DUMMYFUNCTION("GOOGLETRANSLATE(O285,""en"",""bn"")"),"জোশিমুদ্দিন মল্লিক")</f>
        <v>জোশিমুদ্দিন মল্লিক</v>
      </c>
      <c r="Q285" s="2" t="s">
        <v>45</v>
      </c>
      <c r="S285" s="2" t="s">
        <v>45</v>
      </c>
      <c r="V285" s="2" t="s">
        <v>738</v>
      </c>
      <c r="W285" s="2">
        <v>2</v>
      </c>
    </row>
    <row r="286" spans="1:23" ht="15.75" customHeight="1" x14ac:dyDescent="0.35">
      <c r="A286" s="2" t="s">
        <v>23</v>
      </c>
      <c r="L286" s="2">
        <v>118</v>
      </c>
      <c r="M286" s="2" t="s">
        <v>121</v>
      </c>
      <c r="O286" s="2" t="s">
        <v>739</v>
      </c>
      <c r="P286" s="2" t="str">
        <f ca="1">IFERROR(__xludf.DUMMYFUNCTION("GOOGLETRANSLATE(O286,""en"",""bn"")"),"নিতাই চন্দ্র পাল")</f>
        <v>নিতাই চন্দ্র পাল</v>
      </c>
      <c r="Q286" s="2" t="s">
        <v>30</v>
      </c>
      <c r="S286" s="2" t="s">
        <v>30</v>
      </c>
      <c r="V286" s="2" t="s">
        <v>740</v>
      </c>
      <c r="W286" s="2">
        <v>2</v>
      </c>
    </row>
    <row r="287" spans="1:23" ht="15.75" customHeight="1" x14ac:dyDescent="0.35">
      <c r="A287" s="2" t="s">
        <v>23</v>
      </c>
      <c r="L287" s="2">
        <v>271</v>
      </c>
      <c r="M287" s="2" t="s">
        <v>444</v>
      </c>
      <c r="O287" s="2" t="s">
        <v>741</v>
      </c>
      <c r="P287" s="2" t="str">
        <f ca="1">IFERROR(__xludf.DUMMYFUNCTION("GOOGLETRANSLATE(O287,""en"",""bn"")"),"এসকে আবুবাক্কার")</f>
        <v>এসকে আবুবাক্কার</v>
      </c>
      <c r="Q287" s="2" t="s">
        <v>41</v>
      </c>
      <c r="S287" s="2" t="s">
        <v>41</v>
      </c>
      <c r="V287" s="2" t="s">
        <v>742</v>
      </c>
      <c r="W287" s="2">
        <v>2</v>
      </c>
    </row>
    <row r="288" spans="1:23" ht="15.75" customHeight="1" x14ac:dyDescent="0.35">
      <c r="A288" s="2" t="s">
        <v>23</v>
      </c>
      <c r="L288" s="2">
        <v>130</v>
      </c>
      <c r="M288" s="2" t="s">
        <v>447</v>
      </c>
      <c r="O288" s="2" t="s">
        <v>743</v>
      </c>
      <c r="P288" s="2" t="str">
        <f ca="1">IFERROR(__xludf.DUMMYFUNCTION("GOOGLETRANSLATE(O288,""en"",""bn"")"),"শুভ্রাংশু নায়েক")</f>
        <v>শুভ্রাংশু নায়েক</v>
      </c>
      <c r="Q288" s="2" t="s">
        <v>41</v>
      </c>
      <c r="S288" s="2" t="s">
        <v>41</v>
      </c>
      <c r="V288" s="2" t="s">
        <v>744</v>
      </c>
      <c r="W288" s="2">
        <v>2</v>
      </c>
    </row>
    <row r="289" spans="1:23" ht="15.75" customHeight="1" x14ac:dyDescent="0.35">
      <c r="A289" s="2" t="s">
        <v>23</v>
      </c>
      <c r="L289" s="2">
        <v>198</v>
      </c>
      <c r="M289" s="2" t="s">
        <v>381</v>
      </c>
      <c r="O289" s="2" t="s">
        <v>745</v>
      </c>
      <c r="P289" s="2" t="str">
        <f ca="1">IFERROR(__xludf.DUMMYFUNCTION("GOOGLETRANSLATE(O289,""en"",""bn"")"),"ভবানী প্রসাদ মন্ডল")</f>
        <v>ভবানী প্রসাদ মন্ডল</v>
      </c>
      <c r="Q289" s="2" t="s">
        <v>41</v>
      </c>
      <c r="S289" s="2" t="s">
        <v>41</v>
      </c>
      <c r="V289" s="2" t="s">
        <v>746</v>
      </c>
      <c r="W289" s="2">
        <v>2</v>
      </c>
    </row>
    <row r="290" spans="1:23" ht="15.75" customHeight="1" x14ac:dyDescent="0.35">
      <c r="A290" s="2" t="s">
        <v>23</v>
      </c>
      <c r="L290" s="2">
        <v>197</v>
      </c>
      <c r="M290" s="2" t="s">
        <v>360</v>
      </c>
      <c r="O290" s="2" t="s">
        <v>747</v>
      </c>
      <c r="P290" s="2" t="str">
        <f ca="1">IFERROR(__xludf.DUMMYFUNCTION("GOOGLETRANSLATE(O290,""en"",""bn"")"),"বার্নালি দাস")</f>
        <v>বার্নালি দাস</v>
      </c>
      <c r="Q290" s="2" t="s">
        <v>34</v>
      </c>
      <c r="S290" s="2" t="s">
        <v>34</v>
      </c>
      <c r="V290" s="2" t="s">
        <v>748</v>
      </c>
      <c r="W290" s="2">
        <v>2</v>
      </c>
    </row>
    <row r="291" spans="1:23" ht="15.75" customHeight="1" x14ac:dyDescent="0.35">
      <c r="A291" s="2" t="s">
        <v>23</v>
      </c>
      <c r="L291" s="2">
        <v>98</v>
      </c>
      <c r="M291" s="2" t="s">
        <v>115</v>
      </c>
      <c r="O291" s="2" t="s">
        <v>749</v>
      </c>
      <c r="P291" s="2" t="str">
        <f ca="1">IFERROR(__xludf.DUMMYFUNCTION("GOOGLETRANSLATE(O291,""en"",""bn"")"),"বীনা মন্ডল")</f>
        <v>বীনা মন্ডল</v>
      </c>
      <c r="Q291" s="2" t="s">
        <v>26</v>
      </c>
      <c r="S291" s="2" t="s">
        <v>26</v>
      </c>
      <c r="V291" s="2" t="s">
        <v>750</v>
      </c>
      <c r="W291" s="2">
        <v>2</v>
      </c>
    </row>
    <row r="292" spans="1:23" ht="15.75" customHeight="1" x14ac:dyDescent="0.35">
      <c r="A292" s="2" t="s">
        <v>23</v>
      </c>
      <c r="L292" s="2">
        <v>126</v>
      </c>
      <c r="M292" s="2" t="s">
        <v>133</v>
      </c>
      <c r="O292" s="2" t="s">
        <v>751</v>
      </c>
      <c r="P292" s="2" t="str">
        <f ca="1">IFERROR(__xludf.DUMMYFUNCTION("GOOGLETRANSLATE(O292,""en"",""bn"")"),"রেখা পাত্র")</f>
        <v>রেখা পাত্র</v>
      </c>
      <c r="Q292" s="2" t="s">
        <v>34</v>
      </c>
      <c r="S292" s="2" t="s">
        <v>34</v>
      </c>
      <c r="V292" s="2" t="s">
        <v>752</v>
      </c>
      <c r="W292" s="2">
        <v>2</v>
      </c>
    </row>
    <row r="293" spans="1:23" ht="15.75" customHeight="1" x14ac:dyDescent="0.35">
      <c r="A293" s="2" t="s">
        <v>23</v>
      </c>
      <c r="L293" s="2">
        <v>141</v>
      </c>
      <c r="M293" s="2" t="s">
        <v>63</v>
      </c>
      <c r="O293" s="2" t="s">
        <v>753</v>
      </c>
      <c r="P293" s="2" t="str">
        <f ca="1">IFERROR(__xludf.DUMMYFUNCTION("GOOGLETRANSLATE(O293,""en"",""bn"")"),"গোবিন্দ কুমার সর্দার")</f>
        <v>গোবিন্দ কুমার সর্দার</v>
      </c>
      <c r="Q293" s="2" t="s">
        <v>49</v>
      </c>
      <c r="S293" s="2" t="s">
        <v>49</v>
      </c>
      <c r="V293" s="2" t="s">
        <v>754</v>
      </c>
      <c r="W293" s="2">
        <v>2</v>
      </c>
    </row>
    <row r="294" spans="1:23" ht="15.75" customHeight="1" x14ac:dyDescent="0.35">
      <c r="A294" s="2" t="s">
        <v>23</v>
      </c>
      <c r="L294" s="2">
        <v>202</v>
      </c>
      <c r="M294" s="2" t="s">
        <v>312</v>
      </c>
      <c r="O294" s="2" t="s">
        <v>755</v>
      </c>
      <c r="P294" s="2" t="str">
        <f ca="1">IFERROR(__xludf.DUMMYFUNCTION("GOOGLETRANSLATE(O294,""en"",""bn"")"),"প্রদীপ কর")</f>
        <v>প্রদীপ কর</v>
      </c>
      <c r="Q294" s="2" t="s">
        <v>41</v>
      </c>
      <c r="S294" s="2" t="s">
        <v>41</v>
      </c>
      <c r="V294" s="2" t="s">
        <v>756</v>
      </c>
      <c r="W294" s="2">
        <v>2</v>
      </c>
    </row>
    <row r="295" spans="1:23" ht="15.75" customHeight="1" x14ac:dyDescent="0.35">
      <c r="A295" s="2" t="s">
        <v>23</v>
      </c>
      <c r="L295" s="2">
        <v>111</v>
      </c>
      <c r="M295" s="2" t="s">
        <v>369</v>
      </c>
      <c r="O295" s="2" t="s">
        <v>757</v>
      </c>
      <c r="P295" s="2" t="str">
        <f ca="1">IFERROR(__xludf.DUMMYFUNCTION("GOOGLETRANSLATE(O295,""en"",""bn"")"),"রত্ন দেবনাথ")</f>
        <v>রত্ন দেবনাথ</v>
      </c>
      <c r="Q295" s="2" t="s">
        <v>34</v>
      </c>
      <c r="S295" s="2" t="s">
        <v>34</v>
      </c>
      <c r="V295" s="2" t="s">
        <v>758</v>
      </c>
      <c r="W295" s="2">
        <v>2</v>
      </c>
    </row>
    <row r="296" spans="1:23" ht="15.75" customHeight="1" x14ac:dyDescent="0.35">
      <c r="A296" s="2" t="s">
        <v>23</v>
      </c>
      <c r="L296" s="2">
        <v>91</v>
      </c>
      <c r="M296" s="2" t="s">
        <v>211</v>
      </c>
      <c r="O296" s="2" t="s">
        <v>759</v>
      </c>
      <c r="P296" s="2" t="str">
        <f ca="1">IFERROR(__xludf.DUMMYFUNCTION("GOOGLETRANSLATE(O296,""en"",""bn"")"),"মালায় সাহা")</f>
        <v>মালায় সাহা</v>
      </c>
      <c r="Q296" s="2" t="s">
        <v>41</v>
      </c>
      <c r="S296" s="2" t="s">
        <v>41</v>
      </c>
      <c r="V296" s="2" t="s">
        <v>760</v>
      </c>
      <c r="W296" s="2">
        <v>2</v>
      </c>
    </row>
    <row r="297" spans="1:23" ht="15.75" customHeight="1" x14ac:dyDescent="0.35">
      <c r="A297" s="2" t="s">
        <v>23</v>
      </c>
      <c r="L297" s="2">
        <v>100</v>
      </c>
      <c r="M297" s="2" t="s">
        <v>69</v>
      </c>
      <c r="O297" s="2" t="s">
        <v>761</v>
      </c>
      <c r="P297" s="2" t="str">
        <f ca="1">IFERROR(__xludf.DUMMYFUNCTION("GOOGLETRANSLATE(O297,""en"",""bn"")"),"জ্যোতি প্রিয়া মল্লিক")</f>
        <v>জ্যোতি প্রিয়া মল্লিক</v>
      </c>
      <c r="Q297" s="2" t="s">
        <v>26</v>
      </c>
      <c r="S297" s="2" t="s">
        <v>26</v>
      </c>
      <c r="V297" s="2" t="s">
        <v>762</v>
      </c>
      <c r="W297" s="2">
        <v>2</v>
      </c>
    </row>
    <row r="298" spans="1:23" ht="15.75" customHeight="1" x14ac:dyDescent="0.35">
      <c r="A298" s="2" t="s">
        <v>23</v>
      </c>
      <c r="L298" s="2">
        <v>129</v>
      </c>
      <c r="M298" s="2" t="s">
        <v>24</v>
      </c>
      <c r="O298" s="2" t="s">
        <v>763</v>
      </c>
      <c r="P298" s="2" t="str">
        <f ca="1">IFERROR(__xludf.DUMMYFUNCTION("GOOGLETRANSLATE(O298,""en"",""bn"")"),"রামশঙ্কর হালদার")</f>
        <v>রামশঙ্কর হালদার</v>
      </c>
      <c r="Q298" s="2" t="s">
        <v>45</v>
      </c>
      <c r="S298" s="2" t="s">
        <v>45</v>
      </c>
      <c r="V298" s="2" t="s">
        <v>764</v>
      </c>
      <c r="W298" s="2">
        <v>2</v>
      </c>
    </row>
    <row r="299" spans="1:23" ht="15.75" customHeight="1" x14ac:dyDescent="0.35">
      <c r="A299" s="2" t="s">
        <v>23</v>
      </c>
      <c r="L299" s="2">
        <v>178</v>
      </c>
      <c r="M299" s="2" t="s">
        <v>226</v>
      </c>
      <c r="O299" s="2" t="s">
        <v>765</v>
      </c>
      <c r="P299" s="2" t="str">
        <f ca="1">IFERROR(__xludf.DUMMYFUNCTION("GOOGLETRANSLATE(O299,""en"",""bn"")"),"পুলক রায়")</f>
        <v>পুলক রায়</v>
      </c>
      <c r="Q299" s="2" t="s">
        <v>26</v>
      </c>
      <c r="S299" s="2" t="s">
        <v>26</v>
      </c>
      <c r="V299" s="2" t="s">
        <v>766</v>
      </c>
      <c r="W299" s="2">
        <v>2</v>
      </c>
    </row>
    <row r="300" spans="1:23" ht="15.75" customHeight="1" x14ac:dyDescent="0.35">
      <c r="A300" s="2" t="s">
        <v>23</v>
      </c>
      <c r="L300" s="2">
        <v>136</v>
      </c>
      <c r="M300" s="2" t="s">
        <v>43</v>
      </c>
      <c r="O300" s="2" t="s">
        <v>767</v>
      </c>
      <c r="P300" s="2" t="str">
        <f ca="1">IFERROR(__xludf.DUMMYFUNCTION("GOOGLETRANSLATE(O300,""en"",""bn"")"),"তাপস কুমার বৈদ্য")</f>
        <v>তাপস কুমার বৈদ্য</v>
      </c>
      <c r="Q300" s="2" t="s">
        <v>41</v>
      </c>
      <c r="S300" s="2" t="s">
        <v>41</v>
      </c>
      <c r="V300" s="2" t="s">
        <v>768</v>
      </c>
      <c r="W300" s="2">
        <v>2</v>
      </c>
    </row>
    <row r="301" spans="1:23" ht="15.75" customHeight="1" x14ac:dyDescent="0.35">
      <c r="A301" s="2" t="s">
        <v>23</v>
      </c>
      <c r="L301" s="2">
        <v>143</v>
      </c>
      <c r="M301" s="2" t="s">
        <v>163</v>
      </c>
      <c r="O301" s="2" t="s">
        <v>769</v>
      </c>
      <c r="P301" s="2" t="str">
        <f ca="1">IFERROR(__xludf.DUMMYFUNCTION("GOOGLETRANSLATE(O301,""en"",""bn"")"),"পান্না লাল হালদার")</f>
        <v>পান্না লাল হালদার</v>
      </c>
      <c r="Q301" s="2" t="s">
        <v>26</v>
      </c>
      <c r="S301" s="2" t="s">
        <v>26</v>
      </c>
      <c r="V301" s="2" t="s">
        <v>770</v>
      </c>
      <c r="W301" s="2">
        <v>2</v>
      </c>
    </row>
    <row r="302" spans="1:23" ht="15.75" customHeight="1" x14ac:dyDescent="0.35">
      <c r="A302" s="2" t="s">
        <v>23</v>
      </c>
      <c r="L302" s="2">
        <v>160</v>
      </c>
      <c r="M302" s="2" t="s">
        <v>72</v>
      </c>
      <c r="O302" s="2" t="s">
        <v>771</v>
      </c>
      <c r="P302" s="2" t="str">
        <f ca="1">IFERROR(__xludf.DUMMYFUNCTION("GOOGLETRANSLATE(O302,""en"",""bn"")"),"দেবাশিস কুমার (DEBA)")</f>
        <v>দেবাশিস কুমার (DEBA)</v>
      </c>
      <c r="Q302" s="2" t="s">
        <v>26</v>
      </c>
      <c r="S302" s="2" t="s">
        <v>26</v>
      </c>
      <c r="V302" s="2" t="s">
        <v>772</v>
      </c>
      <c r="W302" s="2">
        <v>2</v>
      </c>
    </row>
    <row r="303" spans="1:23" ht="15.75" customHeight="1" x14ac:dyDescent="0.35">
      <c r="A303" s="2" t="s">
        <v>23</v>
      </c>
      <c r="L303" s="2">
        <v>108</v>
      </c>
      <c r="M303" s="2" t="s">
        <v>441</v>
      </c>
      <c r="O303" s="2" t="s">
        <v>773</v>
      </c>
      <c r="P303" s="2" t="str">
        <f ca="1">IFERROR(__xludf.DUMMYFUNCTION("GOOGLETRANSLATE(O303,""en"",""bn"")"),"শম্ভু দাস")</f>
        <v>শম্ভু দাস</v>
      </c>
      <c r="Q303" s="2" t="s">
        <v>41</v>
      </c>
      <c r="S303" s="2" t="s">
        <v>41</v>
      </c>
      <c r="V303" s="2" t="s">
        <v>774</v>
      </c>
      <c r="W303" s="2">
        <v>2</v>
      </c>
    </row>
    <row r="304" spans="1:23" ht="15.75" customHeight="1" x14ac:dyDescent="0.35">
      <c r="A304" s="2" t="s">
        <v>23</v>
      </c>
      <c r="L304" s="2">
        <v>269</v>
      </c>
      <c r="M304" s="2" t="s">
        <v>378</v>
      </c>
      <c r="O304" s="2" t="s">
        <v>775</v>
      </c>
      <c r="P304" s="2" t="str">
        <f ca="1">IFERROR(__xludf.DUMMYFUNCTION("GOOGLETRANSLATE(O304,""en"",""bn"")"),"প্রদীপ কুমার সাহা")</f>
        <v>প্রদীপ কুমার সাহা</v>
      </c>
      <c r="Q304" s="2" t="s">
        <v>45</v>
      </c>
      <c r="S304" s="2" t="s">
        <v>45</v>
      </c>
      <c r="V304" s="2" t="s">
        <v>776</v>
      </c>
      <c r="W304" s="2">
        <v>2</v>
      </c>
    </row>
    <row r="305" spans="1:23" ht="15.75" customHeight="1" x14ac:dyDescent="0.35">
      <c r="A305" s="2" t="s">
        <v>23</v>
      </c>
      <c r="L305" s="2">
        <v>167</v>
      </c>
      <c r="M305" s="2" t="s">
        <v>109</v>
      </c>
      <c r="O305" s="2" t="s">
        <v>777</v>
      </c>
      <c r="P305" s="2" t="str">
        <f ca="1">IFERROR(__xludf.DUMMYFUNCTION("GOOGLETRANSLATE(O305,""en"",""bn"")"),"সুগাতো রায় চৌধুরী")</f>
        <v>সুগাতো রায় চৌধুরী</v>
      </c>
      <c r="Q305" s="2" t="s">
        <v>41</v>
      </c>
      <c r="S305" s="2" t="s">
        <v>41</v>
      </c>
      <c r="V305" s="2" t="s">
        <v>778</v>
      </c>
      <c r="W305" s="2">
        <v>2</v>
      </c>
    </row>
    <row r="306" spans="1:23" ht="15.75" customHeight="1" x14ac:dyDescent="0.35">
      <c r="A306" s="2" t="s">
        <v>23</v>
      </c>
      <c r="L306" s="2">
        <v>199</v>
      </c>
      <c r="M306" s="2" t="s">
        <v>244</v>
      </c>
      <c r="O306" s="2" t="s">
        <v>779</v>
      </c>
      <c r="P306" s="2" t="str">
        <f ca="1">IFERROR(__xludf.DUMMYFUNCTION("GOOGLETRANSLATE(O306,""en"",""bn"")"),"সন্দীপ কুমার সামান্তা")</f>
        <v>সন্দীপ কুমার সামান্তা</v>
      </c>
      <c r="Q306" s="2" t="s">
        <v>45</v>
      </c>
      <c r="S306" s="2" t="s">
        <v>45</v>
      </c>
      <c r="V306" s="2" t="s">
        <v>780</v>
      </c>
      <c r="W306" s="2">
        <v>2</v>
      </c>
    </row>
    <row r="307" spans="1:23" ht="15.75" customHeight="1" x14ac:dyDescent="0.35">
      <c r="A307" s="2" t="s">
        <v>23</v>
      </c>
      <c r="L307" s="2">
        <v>272</v>
      </c>
      <c r="M307" s="2" t="s">
        <v>357</v>
      </c>
      <c r="O307" s="2" t="s">
        <v>781</v>
      </c>
      <c r="P307" s="2" t="str">
        <f ca="1">IFERROR(__xludf.DUMMYFUNCTION("GOOGLETRANSLATE(O307,""en"",""bn"")"),"মিরাজ আলম শেখ")</f>
        <v>মিরাজ আলম শেখ</v>
      </c>
      <c r="Q307" s="2" t="s">
        <v>45</v>
      </c>
      <c r="S307" s="2" t="s">
        <v>45</v>
      </c>
      <c r="V307" s="2" t="s">
        <v>782</v>
      </c>
      <c r="W307" s="2">
        <v>2</v>
      </c>
    </row>
    <row r="308" spans="1:23" ht="15.75" customHeight="1" x14ac:dyDescent="0.35">
      <c r="A308" s="2" t="s">
        <v>23</v>
      </c>
      <c r="L308" s="2">
        <v>169</v>
      </c>
      <c r="M308" s="2" t="s">
        <v>90</v>
      </c>
      <c r="O308" s="2" t="s">
        <v>783</v>
      </c>
      <c r="P308" s="2" t="str">
        <f ca="1">IFERROR(__xludf.DUMMYFUNCTION("GOOGLETRANSLATE(O308,""en"",""bn"")"),"কৈলাশ কুমার মিশ্র")</f>
        <v>কৈলাশ কুমার মিশ্র</v>
      </c>
      <c r="Q308" s="2" t="s">
        <v>26</v>
      </c>
      <c r="S308" s="2" t="s">
        <v>26</v>
      </c>
      <c r="V308" s="2" t="s">
        <v>784</v>
      </c>
      <c r="W308" s="2">
        <v>2</v>
      </c>
    </row>
    <row r="309" spans="1:23" ht="15.75" customHeight="1" x14ac:dyDescent="0.35">
      <c r="A309" s="2" t="s">
        <v>23</v>
      </c>
      <c r="L309" s="2">
        <v>264</v>
      </c>
      <c r="M309" s="2" t="s">
        <v>393</v>
      </c>
      <c r="O309" s="2" t="s">
        <v>785</v>
      </c>
      <c r="P309" s="2" t="str">
        <f ca="1">IFERROR(__xludf.DUMMYFUNCTION("GOOGLETRANSLATE(O309,""en"",""bn"")"),"শর্মিষ্ঠা নাগ সাহা")</f>
        <v>শর্মিষ্ঠা নাগ সাহা</v>
      </c>
      <c r="Q309" s="2" t="s">
        <v>45</v>
      </c>
      <c r="S309" s="2" t="s">
        <v>45</v>
      </c>
      <c r="V309" s="2" t="s">
        <v>786</v>
      </c>
      <c r="W309" s="2">
        <v>2</v>
      </c>
    </row>
    <row r="310" spans="1:23" ht="15.75" customHeight="1" x14ac:dyDescent="0.35">
      <c r="A310" s="2" t="s">
        <v>23</v>
      </c>
      <c r="L310" s="2">
        <v>116</v>
      </c>
      <c r="M310" s="2" t="s">
        <v>39</v>
      </c>
      <c r="O310" s="2" t="s">
        <v>787</v>
      </c>
      <c r="P310" s="2" t="str">
        <f ca="1">IFERROR(__xludf.DUMMYFUNCTION("GOOGLETRANSLATE(O310,""en"",""bn"")"),"সৌম্যজিৎ রাহা")</f>
        <v>সৌম্যজিৎ রাহা</v>
      </c>
      <c r="Q310" s="2" t="s">
        <v>45</v>
      </c>
      <c r="S310" s="2" t="s">
        <v>45</v>
      </c>
      <c r="V310" s="2" t="s">
        <v>788</v>
      </c>
      <c r="W310" s="2">
        <v>2</v>
      </c>
    </row>
    <row r="311" spans="1:23" ht="15.75" customHeight="1" x14ac:dyDescent="0.35">
      <c r="A311" s="2" t="s">
        <v>23</v>
      </c>
      <c r="L311" s="2">
        <v>79</v>
      </c>
      <c r="M311" s="2" t="s">
        <v>103</v>
      </c>
      <c r="O311" s="2" t="s">
        <v>789</v>
      </c>
      <c r="P311" s="2" t="str">
        <f ca="1">IFERROR(__xludf.DUMMYFUNCTION("GOOGLETRANSLATE(O311,""en"",""bn"")"),"রুকবানুর রহমান")</f>
        <v>রুকবানুর রহমান</v>
      </c>
      <c r="Q311" s="2" t="s">
        <v>26</v>
      </c>
      <c r="S311" s="2" t="s">
        <v>26</v>
      </c>
      <c r="V311" s="2" t="s">
        <v>790</v>
      </c>
      <c r="W311" s="2">
        <v>2</v>
      </c>
    </row>
    <row r="312" spans="1:23" ht="15.75" customHeight="1" x14ac:dyDescent="0.35">
      <c r="A312" s="2" t="s">
        <v>23</v>
      </c>
      <c r="L312" s="2">
        <v>123</v>
      </c>
      <c r="M312" s="2" t="s">
        <v>208</v>
      </c>
      <c r="O312" s="2" t="s">
        <v>791</v>
      </c>
      <c r="P312" s="2" t="str">
        <f ca="1">IFERROR(__xludf.DUMMYFUNCTION("GOOGLETRANSLATE(O312,""en"",""bn"")"),"রবীন্দ্রনাথ মহাত্মা")</f>
        <v>রবীন্দ্রনাথ মহাত্মা</v>
      </c>
      <c r="Q312" s="2" t="s">
        <v>45</v>
      </c>
      <c r="S312" s="2" t="s">
        <v>45</v>
      </c>
      <c r="V312" s="2" t="s">
        <v>792</v>
      </c>
      <c r="W312" s="2">
        <v>2</v>
      </c>
    </row>
    <row r="313" spans="1:23" ht="15.75" customHeight="1" x14ac:dyDescent="0.35">
      <c r="A313" s="2" t="s">
        <v>23</v>
      </c>
      <c r="L313" s="2">
        <v>153</v>
      </c>
      <c r="M313" s="2" t="s">
        <v>345</v>
      </c>
      <c r="O313" s="2" t="s">
        <v>793</v>
      </c>
      <c r="P313" s="2" t="str">
        <f ca="1">IFERROR(__xludf.DUMMYFUNCTION("GOOGLETRANSLATE(O313,""en"",""bn"")"),"পুষ্পা ধালি")</f>
        <v>পুষ্পা ধালি</v>
      </c>
      <c r="Q313" s="2" t="s">
        <v>49</v>
      </c>
      <c r="S313" s="2" t="s">
        <v>49</v>
      </c>
      <c r="V313" s="2" t="s">
        <v>794</v>
      </c>
      <c r="W313" s="2">
        <v>2</v>
      </c>
    </row>
    <row r="314" spans="1:23" ht="15.75" customHeight="1" x14ac:dyDescent="0.35">
      <c r="A314" s="2" t="s">
        <v>23</v>
      </c>
      <c r="L314" s="2">
        <v>140</v>
      </c>
      <c r="M314" s="2" t="s">
        <v>429</v>
      </c>
      <c r="O314" s="2" t="s">
        <v>795</v>
      </c>
      <c r="P314" s="2" t="str">
        <f ca="1">IFERROR(__xludf.DUMMYFUNCTION("GOOGLETRANSLATE(O314,""en"",""bn"")"),"বিমান ব্যানার্জী")</f>
        <v>বিমান ব্যানার্জী</v>
      </c>
      <c r="Q314" s="2" t="s">
        <v>26</v>
      </c>
      <c r="S314" s="2" t="s">
        <v>26</v>
      </c>
      <c r="V314" s="2" t="s">
        <v>796</v>
      </c>
      <c r="W314" s="2">
        <v>2</v>
      </c>
    </row>
    <row r="315" spans="1:23" ht="15.75" customHeight="1" x14ac:dyDescent="0.35">
      <c r="A315" s="2" t="s">
        <v>23</v>
      </c>
      <c r="L315" s="2">
        <v>139</v>
      </c>
      <c r="M315" s="2" t="s">
        <v>238</v>
      </c>
      <c r="O315" s="2" t="s">
        <v>797</v>
      </c>
      <c r="P315" s="2" t="str">
        <f ca="1">IFERROR(__xludf.DUMMYFUNCTION("GOOGLETRANSLATE(O315,""en"",""bn"")"),"সাবির আলী সরদার")</f>
        <v>সাবির আলী সরদার</v>
      </c>
      <c r="Q315" s="2" t="s">
        <v>41</v>
      </c>
      <c r="S315" s="2" t="s">
        <v>41</v>
      </c>
      <c r="V315" s="2" t="s">
        <v>798</v>
      </c>
      <c r="W315" s="2">
        <v>2</v>
      </c>
    </row>
    <row r="316" spans="1:23" ht="15.75" customHeight="1" x14ac:dyDescent="0.35">
      <c r="A316" s="2" t="s">
        <v>23</v>
      </c>
      <c r="L316" s="2">
        <v>99</v>
      </c>
      <c r="M316" s="2" t="s">
        <v>268</v>
      </c>
      <c r="O316" s="2" t="s">
        <v>799</v>
      </c>
      <c r="P316" s="2" t="str">
        <f ca="1">IFERROR(__xludf.DUMMYFUNCTION("GOOGLETRANSLATE(O316,""en"",""bn"")"),"বুরহানুল মুকাদ্দিম (লিটন)")</f>
        <v>বুরহানুল মুকাদ্দিম (লিটন)</v>
      </c>
      <c r="Q316" s="2" t="s">
        <v>26</v>
      </c>
      <c r="S316" s="2" t="s">
        <v>26</v>
      </c>
      <c r="V316" s="2" t="s">
        <v>800</v>
      </c>
      <c r="W316" s="2">
        <v>2</v>
      </c>
    </row>
    <row r="317" spans="1:23" ht="15.75" customHeight="1" x14ac:dyDescent="0.35">
      <c r="A317" s="2" t="s">
        <v>23</v>
      </c>
      <c r="L317" s="2">
        <v>124</v>
      </c>
      <c r="M317" s="2" t="s">
        <v>190</v>
      </c>
      <c r="O317" s="2" t="s">
        <v>801</v>
      </c>
      <c r="P317" s="2" t="str">
        <f ca="1">IFERROR(__xludf.DUMMYFUNCTION("GOOGLETRANSLATE(O317,""en"",""bn"")"),"আইনুল আরেফিন (রাজু আহমেদ)")</f>
        <v>আইনুল আরেফিন (রাজু আহমেদ)</v>
      </c>
      <c r="Q317" s="2" t="s">
        <v>45</v>
      </c>
      <c r="S317" s="2" t="s">
        <v>45</v>
      </c>
      <c r="V317" s="2" t="s">
        <v>802</v>
      </c>
      <c r="W317" s="2">
        <v>2</v>
      </c>
    </row>
    <row r="318" spans="1:23" ht="15.75" customHeight="1" x14ac:dyDescent="0.35">
      <c r="A318" s="2" t="s">
        <v>23</v>
      </c>
      <c r="L318" s="2">
        <v>92</v>
      </c>
      <c r="M318" s="2" t="s">
        <v>321</v>
      </c>
      <c r="O318" s="2" t="s">
        <v>803</v>
      </c>
      <c r="P318" s="2" t="str">
        <f ca="1">IFERROR(__xludf.DUMMYFUNCTION("GOOGLETRANSLATE(O318,""en"",""bn"")"),"অসীমানন্দ মজুমদার")</f>
        <v>অসীমানন্দ মজুমদার</v>
      </c>
      <c r="Q318" s="2" t="s">
        <v>41</v>
      </c>
      <c r="S318" s="2" t="s">
        <v>41</v>
      </c>
      <c r="V318" s="2" t="s">
        <v>804</v>
      </c>
      <c r="W318" s="2">
        <v>2</v>
      </c>
    </row>
    <row r="319" spans="1:23" ht="15.75" customHeight="1" x14ac:dyDescent="0.35">
      <c r="A319" s="2" t="s">
        <v>23</v>
      </c>
      <c r="L319" s="2">
        <v>121</v>
      </c>
      <c r="M319" s="2" t="s">
        <v>348</v>
      </c>
      <c r="O319" s="2" t="s">
        <v>805</v>
      </c>
      <c r="P319" s="2" t="str">
        <f ca="1">IFERROR(__xludf.DUMMYFUNCTION("GOOGLETRANSLATE(O319,""en"",""bn"")"),"মো. রবিউল মোল্লা")</f>
        <v>মো. রবিউল মোল্লা</v>
      </c>
      <c r="Q319" s="2" t="s">
        <v>41</v>
      </c>
      <c r="S319" s="2" t="s">
        <v>41</v>
      </c>
      <c r="V319" s="2" t="s">
        <v>806</v>
      </c>
      <c r="W319" s="2">
        <v>2</v>
      </c>
    </row>
    <row r="320" spans="1:23" ht="15.75" customHeight="1" x14ac:dyDescent="0.35">
      <c r="A320" s="2" t="s">
        <v>23</v>
      </c>
      <c r="L320" s="2">
        <v>157</v>
      </c>
      <c r="M320" s="2" t="s">
        <v>36</v>
      </c>
      <c r="O320" s="2" t="s">
        <v>807</v>
      </c>
      <c r="P320" s="2" t="str">
        <f ca="1">IFERROR(__xludf.DUMMYFUNCTION("GOOGLETRANSLATE(O320,""en"",""bn"")"),"এমডি মুখতার")</f>
        <v>এমডি মুখতার</v>
      </c>
      <c r="Q320" s="2" t="s">
        <v>41</v>
      </c>
      <c r="S320" s="2" t="s">
        <v>41</v>
      </c>
      <c r="V320" s="2" t="s">
        <v>808</v>
      </c>
      <c r="W320" s="2">
        <v>2</v>
      </c>
    </row>
    <row r="321" spans="1:23" ht="15.75" customHeight="1" x14ac:dyDescent="0.35">
      <c r="A321" s="2" t="s">
        <v>23</v>
      </c>
      <c r="L321" s="2">
        <v>165</v>
      </c>
      <c r="M321" s="2" t="s">
        <v>390</v>
      </c>
      <c r="O321" s="2" t="s">
        <v>809</v>
      </c>
      <c r="P321" s="2" t="str">
        <f ca="1">IFERROR(__xludf.DUMMYFUNCTION("GOOGLETRANSLATE(O321,""en"",""bn"")"),"বিজয় ওঝা")</f>
        <v>বিজয় ওঝা</v>
      </c>
      <c r="Q321" s="2" t="s">
        <v>34</v>
      </c>
      <c r="S321" s="2" t="s">
        <v>34</v>
      </c>
      <c r="V321" s="2" t="s">
        <v>810</v>
      </c>
      <c r="W321" s="2">
        <v>2</v>
      </c>
    </row>
    <row r="322" spans="1:23" ht="15.75" customHeight="1" x14ac:dyDescent="0.35">
      <c r="A322" s="2" t="s">
        <v>23</v>
      </c>
      <c r="L322" s="2">
        <v>85</v>
      </c>
      <c r="M322" s="2" t="s">
        <v>387</v>
      </c>
      <c r="O322" s="2" t="s">
        <v>811</v>
      </c>
      <c r="P322" s="2" t="str">
        <f ca="1">IFERROR(__xludf.DUMMYFUNCTION("GOOGLETRANSLATE(O322,""en"",""bn"")"),"সাধন ঘোষ")</f>
        <v>সাধন ঘোষ</v>
      </c>
      <c r="Q322" s="2" t="s">
        <v>34</v>
      </c>
      <c r="S322" s="2" t="s">
        <v>34</v>
      </c>
      <c r="V322" s="2" t="s">
        <v>812</v>
      </c>
      <c r="W322" s="2">
        <v>2</v>
      </c>
    </row>
    <row r="323" spans="1:23" ht="15.75" customHeight="1" x14ac:dyDescent="0.35">
      <c r="A323" s="2" t="s">
        <v>23</v>
      </c>
      <c r="L323" s="2">
        <v>107</v>
      </c>
      <c r="M323" s="2" t="s">
        <v>32</v>
      </c>
      <c r="O323" s="2" t="s">
        <v>813</v>
      </c>
      <c r="P323" s="2" t="str">
        <f ca="1">IFERROR(__xludf.DUMMYFUNCTION("GOOGLETRANSLATE(O323,""en"",""bn"")"),"গার্গী চ্যাটার্জী")</f>
        <v>গার্গী চ্যাটার্জী</v>
      </c>
      <c r="Q323" s="2" t="s">
        <v>45</v>
      </c>
      <c r="S323" s="2" t="s">
        <v>45</v>
      </c>
      <c r="V323" s="2" t="s">
        <v>814</v>
      </c>
      <c r="W323" s="2">
        <v>2</v>
      </c>
    </row>
    <row r="324" spans="1:23" ht="15.75" customHeight="1" x14ac:dyDescent="0.35">
      <c r="A324" s="2" t="s">
        <v>23</v>
      </c>
      <c r="L324" s="2">
        <v>87</v>
      </c>
      <c r="M324" s="2" t="s">
        <v>351</v>
      </c>
      <c r="O324" s="2" t="s">
        <v>815</v>
      </c>
      <c r="P324" s="2" t="str">
        <f ca="1">IFERROR(__xludf.DUMMYFUNCTION("GOOGLETRANSLATE(O324,""en"",""bn"")"),"নবকুমার মন্ডল")</f>
        <v>নবকুমার মন্ডল</v>
      </c>
      <c r="Q324" s="2" t="s">
        <v>41</v>
      </c>
      <c r="S324" s="2" t="s">
        <v>41</v>
      </c>
      <c r="V324" s="2" t="s">
        <v>816</v>
      </c>
      <c r="W324" s="2">
        <v>2</v>
      </c>
    </row>
    <row r="325" spans="1:23" ht="15.75" customHeight="1" x14ac:dyDescent="0.35">
      <c r="A325" s="2" t="s">
        <v>23</v>
      </c>
      <c r="L325" s="2">
        <v>150</v>
      </c>
      <c r="M325" s="2" t="s">
        <v>181</v>
      </c>
      <c r="O325" s="2" t="s">
        <v>817</v>
      </c>
      <c r="P325" s="2" t="str">
        <f ca="1">IFERROR(__xludf.DUMMYFUNCTION("GOOGLETRANSLATE(O325,""en"",""bn"")"),"সর্বোরি মুখার্জি")</f>
        <v>সর্বোরি মুখার্জি</v>
      </c>
      <c r="Q325" s="2" t="s">
        <v>34</v>
      </c>
      <c r="S325" s="2" t="s">
        <v>34</v>
      </c>
      <c r="V325" s="2" t="s">
        <v>818</v>
      </c>
      <c r="W325" s="2">
        <v>2</v>
      </c>
    </row>
    <row r="326" spans="1:23" ht="15.75" customHeight="1" x14ac:dyDescent="0.35">
      <c r="A326" s="2" t="s">
        <v>23</v>
      </c>
      <c r="L326" s="2">
        <v>106</v>
      </c>
      <c r="M326" s="2" t="s">
        <v>283</v>
      </c>
      <c r="O326" s="2" t="s">
        <v>819</v>
      </c>
      <c r="P326" s="2" t="str">
        <f ca="1">IFERROR(__xludf.DUMMYFUNCTION("GOOGLETRANSLATE(O326,""en"",""bn"")"),"মন্দিরা চক্রবর্তী")</f>
        <v>মন্দিরা চক্রবর্তী</v>
      </c>
      <c r="Q326" s="2" t="s">
        <v>41</v>
      </c>
      <c r="S326" s="2" t="s">
        <v>41</v>
      </c>
      <c r="V326" s="2" t="s">
        <v>820</v>
      </c>
      <c r="W326" s="2">
        <v>2</v>
      </c>
    </row>
    <row r="327" spans="1:23" ht="15.75" customHeight="1" x14ac:dyDescent="0.35">
      <c r="A327" s="2" t="s">
        <v>23</v>
      </c>
      <c r="L327" s="2">
        <v>83</v>
      </c>
      <c r="M327" s="2" t="s">
        <v>354</v>
      </c>
      <c r="O327" s="2" t="s">
        <v>821</v>
      </c>
      <c r="P327" s="2" t="str">
        <f ca="1">IFERROR(__xludf.DUMMYFUNCTION("GOOGLETRANSLATE(O327,""en"",""bn"")"),"তারক নাথ চ্যাটার্জী")</f>
        <v>তারক নাথ চ্যাটার্জী</v>
      </c>
      <c r="Q327" s="2" t="s">
        <v>34</v>
      </c>
      <c r="S327" s="2" t="s">
        <v>34</v>
      </c>
      <c r="V327" s="2" t="s">
        <v>822</v>
      </c>
      <c r="W327" s="2">
        <v>2</v>
      </c>
    </row>
    <row r="328" spans="1:23" ht="15.75" customHeight="1" x14ac:dyDescent="0.35">
      <c r="A328" s="2" t="s">
        <v>23</v>
      </c>
      <c r="L328" s="2">
        <v>80</v>
      </c>
      <c r="M328" s="2" t="s">
        <v>175</v>
      </c>
      <c r="O328" s="2" t="s">
        <v>823</v>
      </c>
      <c r="P328" s="2" t="str">
        <f ca="1">IFERROR(__xludf.DUMMYFUNCTION("GOOGLETRANSLATE(O328,""en"",""bn"")"),"সাবিনা ইয়াসমিন শেখ")</f>
        <v>সাবিনা ইয়াসমিন শেখ</v>
      </c>
      <c r="Q328" s="2" t="s">
        <v>45</v>
      </c>
      <c r="S328" s="2" t="s">
        <v>45</v>
      </c>
      <c r="V328" s="2" t="s">
        <v>824</v>
      </c>
      <c r="W328" s="2">
        <v>2</v>
      </c>
    </row>
    <row r="329" spans="1:23" ht="15.75" customHeight="1" x14ac:dyDescent="0.35">
      <c r="A329" s="2" t="s">
        <v>23</v>
      </c>
      <c r="L329" s="2">
        <v>117</v>
      </c>
      <c r="M329" s="2" t="s">
        <v>277</v>
      </c>
      <c r="O329" s="2" t="s">
        <v>825</v>
      </c>
      <c r="P329" s="2" t="str">
        <f ca="1">IFERROR(__xludf.DUMMYFUNCTION("GOOGLETRANSLATE(O329,""en"",""bn"")"),"পার্থ ভৌমিক")</f>
        <v>পার্থ ভৌমিক</v>
      </c>
      <c r="Q329" s="2" t="s">
        <v>41</v>
      </c>
      <c r="S329" s="2" t="s">
        <v>41</v>
      </c>
      <c r="V329" s="2" t="s">
        <v>826</v>
      </c>
      <c r="W329" s="2">
        <v>2</v>
      </c>
    </row>
    <row r="330" spans="1:23" ht="15.75" customHeight="1" x14ac:dyDescent="0.35">
      <c r="A330" s="2" t="s">
        <v>23</v>
      </c>
      <c r="L330" s="2">
        <v>104</v>
      </c>
      <c r="M330" s="2" t="s">
        <v>396</v>
      </c>
      <c r="O330" s="2" t="s">
        <v>827</v>
      </c>
      <c r="P330" s="2" t="str">
        <f ca="1">IFERROR(__xludf.DUMMYFUNCTION("GOOGLETRANSLATE(O330,""en"",""bn"")"),"সানাত দে")</f>
        <v>সানাত দে</v>
      </c>
      <c r="Q330" s="2" t="s">
        <v>26</v>
      </c>
      <c r="S330" s="2" t="s">
        <v>26</v>
      </c>
      <c r="V330" s="2" t="s">
        <v>828</v>
      </c>
      <c r="W330" s="2">
        <v>2</v>
      </c>
    </row>
    <row r="331" spans="1:23" ht="15.75" customHeight="1" x14ac:dyDescent="0.35">
      <c r="A331" s="2" t="s">
        <v>23</v>
      </c>
      <c r="L331" s="2">
        <v>146</v>
      </c>
      <c r="M331" s="2" t="s">
        <v>75</v>
      </c>
      <c r="O331" s="2" t="s">
        <v>829</v>
      </c>
      <c r="P331" s="2" t="str">
        <f ca="1">IFERROR(__xludf.DUMMYFUNCTION("GOOGLETRANSLATE(O331,""en"",""bn"")"),"দিলীপ মন্ডল")</f>
        <v>দিলীপ মন্ডল</v>
      </c>
      <c r="Q331" s="2" t="s">
        <v>26</v>
      </c>
      <c r="S331" s="2" t="s">
        <v>26</v>
      </c>
      <c r="V331" s="2" t="s">
        <v>830</v>
      </c>
      <c r="W331" s="2">
        <v>2</v>
      </c>
    </row>
    <row r="332" spans="1:23" ht="15.75" customHeight="1" x14ac:dyDescent="0.35">
      <c r="A332" s="2" t="s">
        <v>23</v>
      </c>
      <c r="L332" s="2">
        <v>120</v>
      </c>
      <c r="M332" s="2" t="s">
        <v>309</v>
      </c>
      <c r="O332" s="2" t="s">
        <v>831</v>
      </c>
      <c r="P332" s="2" t="str">
        <f ca="1">IFERROR(__xludf.DUMMYFUNCTION("GOOGLETRANSLATE(O332,""en"",""bn"")"),"মিয়ারাজ বৈদ্য")</f>
        <v>মিয়ারাজ বৈদ্য</v>
      </c>
      <c r="Q332" s="2" t="s">
        <v>41</v>
      </c>
      <c r="S332" s="2" t="s">
        <v>41</v>
      </c>
      <c r="V332" s="2" t="s">
        <v>832</v>
      </c>
      <c r="W332" s="2">
        <v>2</v>
      </c>
    </row>
    <row r="333" spans="1:23" ht="15.75" customHeight="1" x14ac:dyDescent="0.35">
      <c r="A333" s="2" t="s">
        <v>23</v>
      </c>
      <c r="L333" s="2">
        <v>125</v>
      </c>
      <c r="M333" s="2" t="s">
        <v>160</v>
      </c>
      <c r="O333" s="2" t="s">
        <v>833</v>
      </c>
      <c r="P333" s="2" t="str">
        <f ca="1">IFERROR(__xludf.DUMMYFUNCTION("GOOGLETRANSLATE(O333,""en"",""bn"")"),"মুসা হক মন্ডল")</f>
        <v>মুসা হক মন্ডল</v>
      </c>
      <c r="Q333" s="2" t="s">
        <v>41</v>
      </c>
      <c r="S333" s="2" t="s">
        <v>41</v>
      </c>
      <c r="V333" s="2" t="s">
        <v>834</v>
      </c>
      <c r="W333" s="2">
        <v>2</v>
      </c>
    </row>
    <row r="334" spans="1:23" ht="15.75" customHeight="1" x14ac:dyDescent="0.35">
      <c r="A334" s="2" t="s">
        <v>23</v>
      </c>
      <c r="L334" s="2">
        <v>152</v>
      </c>
      <c r="M334" s="2" t="s">
        <v>450</v>
      </c>
      <c r="O334" s="2" t="s">
        <v>835</v>
      </c>
      <c r="P334" s="2" t="str">
        <f ca="1">IFERROR(__xludf.DUMMYFUNCTION("GOOGLETRANSLATE(O334,""en"",""bn"")"),"পাপিয়া আধিকারিক")</f>
        <v>পাপিয়া আধিকারিক</v>
      </c>
      <c r="Q334" s="2" t="s">
        <v>34</v>
      </c>
      <c r="S334" s="2" t="s">
        <v>34</v>
      </c>
      <c r="V334" s="2" t="s">
        <v>836</v>
      </c>
      <c r="W334" s="2">
        <v>2</v>
      </c>
    </row>
    <row r="335" spans="1:23" ht="15.75" customHeight="1" x14ac:dyDescent="0.35">
      <c r="A335" s="2" t="s">
        <v>23</v>
      </c>
      <c r="L335" s="2">
        <v>145</v>
      </c>
      <c r="M335" s="2" t="s">
        <v>166</v>
      </c>
      <c r="O335" s="2" t="s">
        <v>837</v>
      </c>
      <c r="P335" s="2" t="str">
        <f ca="1">IFERROR(__xludf.DUMMYFUNCTION("GOOGLETRANSLATE(O335,""en"",""bn"")"),"প্রভাষ চন্দ্র ঘোষ")</f>
        <v>প্রভাষ চন্দ্র ঘোষ</v>
      </c>
      <c r="Q335" s="2" t="s">
        <v>41</v>
      </c>
      <c r="S335" s="2" t="s">
        <v>41</v>
      </c>
      <c r="V335" s="2" t="s">
        <v>838</v>
      </c>
      <c r="W335" s="2">
        <v>2</v>
      </c>
    </row>
    <row r="336" spans="1:23" ht="15.75" customHeight="1" x14ac:dyDescent="0.35">
      <c r="A336" s="2" t="s">
        <v>23</v>
      </c>
      <c r="L336" s="2">
        <v>103</v>
      </c>
      <c r="M336" s="2" t="s">
        <v>199</v>
      </c>
      <c r="O336" s="2" t="s">
        <v>839</v>
      </c>
      <c r="P336" s="2" t="str">
        <f ca="1">IFERROR(__xludf.DUMMYFUNCTION("GOOGLETRANSLATE(O336,""en"",""bn"")"),"শিবব্রত গুহারয়")</f>
        <v>শিবব্রত গুহারয়</v>
      </c>
      <c r="Q336" s="2" t="s">
        <v>41</v>
      </c>
      <c r="S336" s="2" t="s">
        <v>41</v>
      </c>
      <c r="V336" s="2" t="s">
        <v>840</v>
      </c>
      <c r="W336" s="2">
        <v>2</v>
      </c>
    </row>
    <row r="337" spans="1:23" ht="15.75" customHeight="1" x14ac:dyDescent="0.35">
      <c r="A337" s="2" t="s">
        <v>23</v>
      </c>
      <c r="L337" s="2">
        <v>261</v>
      </c>
      <c r="M337" s="2" t="s">
        <v>184</v>
      </c>
      <c r="O337" s="2" t="s">
        <v>841</v>
      </c>
      <c r="P337" s="2" t="str">
        <f ca="1">IFERROR(__xludf.DUMMYFUNCTION("GOOGLETRANSLATE(O337,""en"",""bn"")"),"সুভাষ পাত্র")</f>
        <v>সুভাষ পাত্র</v>
      </c>
      <c r="Q337" s="2" t="s">
        <v>34</v>
      </c>
      <c r="S337" s="2" t="s">
        <v>34</v>
      </c>
      <c r="V337" s="2" t="s">
        <v>842</v>
      </c>
      <c r="W337" s="2">
        <v>2</v>
      </c>
    </row>
    <row r="338" spans="1:23" ht="15.75" customHeight="1" x14ac:dyDescent="0.35">
      <c r="A338" s="2" t="s">
        <v>23</v>
      </c>
      <c r="L338" s="2">
        <v>144</v>
      </c>
      <c r="M338" s="2" t="s">
        <v>178</v>
      </c>
      <c r="O338" s="2" t="s">
        <v>843</v>
      </c>
      <c r="P338" s="2" t="str">
        <f ca="1">IFERROR(__xludf.DUMMYFUNCTION("GOOGLETRANSLATE(O338,""en"",""bn"")"),"দেবাংশু পান্ডা")</f>
        <v>দেবাংশু পান্ডা</v>
      </c>
      <c r="Q338" s="2" t="s">
        <v>34</v>
      </c>
      <c r="S338" s="2" t="s">
        <v>34</v>
      </c>
      <c r="V338" s="2" t="s">
        <v>844</v>
      </c>
      <c r="W338" s="2">
        <v>2</v>
      </c>
    </row>
    <row r="339" spans="1:23" ht="15.75" customHeight="1" x14ac:dyDescent="0.35">
      <c r="A339" s="2" t="s">
        <v>23</v>
      </c>
      <c r="L339" s="2">
        <v>263</v>
      </c>
      <c r="M339" s="2" t="s">
        <v>78</v>
      </c>
      <c r="O339" s="2" t="s">
        <v>845</v>
      </c>
      <c r="P339" s="2" t="str">
        <f ca="1">IFERROR(__xludf.DUMMYFUNCTION("GOOGLETRANSLATE(O339,""en"",""bn"")"),"জ্যোতির্ময় মণ্ডল")</f>
        <v>জ্যোতির্ময় মণ্ডল</v>
      </c>
      <c r="Q339" s="2" t="s">
        <v>41</v>
      </c>
      <c r="S339" s="2" t="s">
        <v>41</v>
      </c>
      <c r="V339" s="2" t="s">
        <v>846</v>
      </c>
      <c r="W339" s="2">
        <v>2</v>
      </c>
    </row>
    <row r="340" spans="1:23" ht="15.75" customHeight="1" x14ac:dyDescent="0.35">
      <c r="A340" s="2" t="s">
        <v>23</v>
      </c>
      <c r="L340" s="2">
        <v>109</v>
      </c>
      <c r="M340" s="2" t="s">
        <v>336</v>
      </c>
      <c r="O340" s="2" t="s">
        <v>847</v>
      </c>
      <c r="P340" s="2" t="str">
        <f ca="1">IFERROR(__xludf.DUMMYFUNCTION("GOOGLETRANSLATE(O340,""en"",""bn"")"),"তাপাস বার")</f>
        <v>তাপাস বার</v>
      </c>
      <c r="Q340" s="2" t="s">
        <v>49</v>
      </c>
      <c r="S340" s="2" t="s">
        <v>49</v>
      </c>
      <c r="V340" s="2" t="s">
        <v>848</v>
      </c>
      <c r="W340" s="2">
        <v>2</v>
      </c>
    </row>
    <row r="341" spans="1:23" ht="15.75" customHeight="1" x14ac:dyDescent="0.35">
      <c r="A341" s="2" t="s">
        <v>23</v>
      </c>
      <c r="L341" s="2">
        <v>262</v>
      </c>
      <c r="M341" s="2" t="s">
        <v>417</v>
      </c>
      <c r="O341" s="2" t="s">
        <v>849</v>
      </c>
      <c r="P341" s="2" t="str">
        <f ca="1">IFERROR(__xludf.DUMMYFUNCTION("GOOGLETRANSLATE(O341,""en"",""bn"")"),"ভুতনাথ মালিক")</f>
        <v>ভুতনাথ মালিক</v>
      </c>
      <c r="Q341" s="2" t="s">
        <v>26</v>
      </c>
      <c r="S341" s="2" t="s">
        <v>26</v>
      </c>
      <c r="V341" s="2" t="s">
        <v>850</v>
      </c>
      <c r="W341" s="2">
        <v>2</v>
      </c>
    </row>
    <row r="342" spans="1:23" ht="15.75" customHeight="1" x14ac:dyDescent="0.35">
      <c r="A342" s="2" t="s">
        <v>23</v>
      </c>
      <c r="L342" s="2">
        <v>84</v>
      </c>
      <c r="M342" s="2" t="s">
        <v>297</v>
      </c>
      <c r="O342" s="2" t="s">
        <v>851</v>
      </c>
      <c r="P342" s="2" t="str">
        <f ca="1">IFERROR(__xludf.DUMMYFUNCTION("GOOGLETRANSLATE(O342,""en"",""bn"")"),"শ্রুতিশেখর গোস্বামী")</f>
        <v>শ্রুতিশেখর গোস্বামী</v>
      </c>
      <c r="Q342" s="2" t="s">
        <v>34</v>
      </c>
      <c r="S342" s="2" t="s">
        <v>34</v>
      </c>
      <c r="V342" s="2" t="s">
        <v>852</v>
      </c>
      <c r="W342" s="2">
        <v>2</v>
      </c>
    </row>
    <row r="343" spans="1:23" ht="15.75" customHeight="1" x14ac:dyDescent="0.35">
      <c r="A343" s="2" t="s">
        <v>23</v>
      </c>
      <c r="L343" s="2">
        <v>134</v>
      </c>
      <c r="M343" s="2" t="s">
        <v>274</v>
      </c>
      <c r="O343" s="2" t="s">
        <v>853</v>
      </c>
      <c r="P343" s="2" t="str">
        <f ca="1">IFERROR(__xludf.DUMMYFUNCTION("GOOGLETRANSLATE(O343,""en"",""bn"")"),"পলাশ রানা")</f>
        <v>পলাশ রানা</v>
      </c>
      <c r="Q343" s="2" t="s">
        <v>34</v>
      </c>
      <c r="S343" s="2" t="s">
        <v>34</v>
      </c>
      <c r="V343" s="2" t="s">
        <v>854</v>
      </c>
      <c r="W343" s="2">
        <v>2</v>
      </c>
    </row>
    <row r="344" spans="1:23" ht="15.75" customHeight="1" x14ac:dyDescent="0.35">
      <c r="A344" s="2" t="s">
        <v>23</v>
      </c>
      <c r="L344" s="2">
        <v>89</v>
      </c>
      <c r="M344" s="2" t="s">
        <v>426</v>
      </c>
      <c r="O344" s="2" t="s">
        <v>855</v>
      </c>
      <c r="P344" s="2" t="str">
        <f ca="1">IFERROR(__xludf.DUMMYFUNCTION("GOOGLETRANSLATE(O344,""en"",""bn"")"),"বার্নালি দে রায়")</f>
        <v>বার্নালি দে রায়</v>
      </c>
      <c r="Q344" s="2" t="s">
        <v>26</v>
      </c>
      <c r="S344" s="2" t="s">
        <v>26</v>
      </c>
      <c r="V344" s="2" t="s">
        <v>856</v>
      </c>
      <c r="W344" s="2">
        <v>2</v>
      </c>
    </row>
    <row r="345" spans="1:23" ht="15.75" customHeight="1" x14ac:dyDescent="0.35">
      <c r="A345" s="2" t="s">
        <v>23</v>
      </c>
      <c r="L345" s="2">
        <v>128</v>
      </c>
      <c r="M345" s="2" t="s">
        <v>124</v>
      </c>
      <c r="O345" s="2" t="s">
        <v>857</v>
      </c>
      <c r="P345" s="2" t="str">
        <f ca="1">IFERROR(__xludf.DUMMYFUNCTION("GOOGLETRANSLATE(O345,""en"",""bn"")"),"বিকাশ সর্দার")</f>
        <v>বিকাশ সর্দার</v>
      </c>
      <c r="Q345" s="2" t="s">
        <v>34</v>
      </c>
      <c r="S345" s="2" t="s">
        <v>34</v>
      </c>
      <c r="V345" s="2" t="s">
        <v>858</v>
      </c>
      <c r="W345" s="2">
        <v>2</v>
      </c>
    </row>
    <row r="346" spans="1:23" ht="15.75" customHeight="1" x14ac:dyDescent="0.35">
      <c r="A346" s="2" t="s">
        <v>23</v>
      </c>
      <c r="L346" s="2">
        <v>181</v>
      </c>
      <c r="M346" s="2" t="s">
        <v>193</v>
      </c>
      <c r="O346" s="2" t="s">
        <v>859</v>
      </c>
      <c r="P346" s="2" t="str">
        <f ca="1">IFERROR(__xludf.DUMMYFUNCTION("GOOGLETRANSLATE(O346,""en"",""bn"")"),"তপন দাস")</f>
        <v>তপন দাস</v>
      </c>
      <c r="Q346" s="2" t="s">
        <v>41</v>
      </c>
      <c r="S346" s="2" t="s">
        <v>41</v>
      </c>
      <c r="V346" s="2" t="s">
        <v>860</v>
      </c>
      <c r="W346" s="2">
        <v>2</v>
      </c>
    </row>
    <row r="347" spans="1:23" ht="15.75" customHeight="1" x14ac:dyDescent="0.35">
      <c r="A347" s="2" t="s">
        <v>23</v>
      </c>
      <c r="L347" s="2">
        <v>265</v>
      </c>
      <c r="M347" s="2" t="s">
        <v>420</v>
      </c>
      <c r="O347" s="2" t="s">
        <v>861</v>
      </c>
      <c r="P347" s="2" t="str">
        <f ca="1">IFERROR(__xludf.DUMMYFUNCTION("GOOGLETRANSLATE(O347,""en"",""bn"")"),"বাসন্তী ব্যাগ (মাঝি)")</f>
        <v>বাসন্তী ব্যাগ (মাঝি)</v>
      </c>
      <c r="Q347" s="2" t="s">
        <v>49</v>
      </c>
      <c r="S347" s="2" t="s">
        <v>49</v>
      </c>
      <c r="V347" s="2" t="s">
        <v>862</v>
      </c>
      <c r="W347" s="2">
        <v>2</v>
      </c>
    </row>
    <row r="348" spans="1:23" ht="15.75" customHeight="1" x14ac:dyDescent="0.35">
      <c r="A348" s="2" t="s">
        <v>23</v>
      </c>
      <c r="L348" s="2">
        <v>266</v>
      </c>
      <c r="M348" s="2" t="s">
        <v>214</v>
      </c>
      <c r="O348" s="2" t="s">
        <v>863</v>
      </c>
      <c r="P348" s="2" t="str">
        <f ca="1">IFERROR(__xludf.DUMMYFUNCTION("GOOGLETRANSLATE(O348,""en"",""bn"")"),"রামকৃষ্ণ মালিক (দেব)")</f>
        <v>রামকৃষ্ণ মালিক (দেব)</v>
      </c>
      <c r="Q348" s="2" t="s">
        <v>49</v>
      </c>
      <c r="S348" s="2" t="s">
        <v>49</v>
      </c>
      <c r="V348" s="2" t="s">
        <v>864</v>
      </c>
      <c r="W348" s="2">
        <v>2</v>
      </c>
    </row>
    <row r="349" spans="1:23" ht="15.75" customHeight="1" x14ac:dyDescent="0.35">
      <c r="A349" s="2" t="s">
        <v>23</v>
      </c>
      <c r="L349" s="2">
        <v>127</v>
      </c>
      <c r="M349" s="2" t="s">
        <v>289</v>
      </c>
      <c r="O349" s="2" t="s">
        <v>865</v>
      </c>
      <c r="P349" s="2" t="str">
        <f ca="1">IFERROR(__xludf.DUMMYFUNCTION("GOOGLETRANSLATE(O349,""en"",""bn"")"),"সুব্রত মন্ডল")</f>
        <v>সুব্রত মন্ডল</v>
      </c>
      <c r="Q349" s="2" t="s">
        <v>26</v>
      </c>
      <c r="S349" s="2" t="s">
        <v>26</v>
      </c>
      <c r="V349" s="2" t="s">
        <v>866</v>
      </c>
      <c r="W349" s="2">
        <v>2</v>
      </c>
    </row>
    <row r="350" spans="1:23" ht="15.75" customHeight="1" x14ac:dyDescent="0.35">
      <c r="A350" s="2" t="s">
        <v>23</v>
      </c>
      <c r="L350" s="2">
        <v>166</v>
      </c>
      <c r="M350" s="2" t="s">
        <v>247</v>
      </c>
      <c r="O350" s="2" t="s">
        <v>867</v>
      </c>
      <c r="P350" s="2" t="str">
        <f ca="1">IFERROR(__xludf.DUMMYFUNCTION("GOOGLETRANSLATE(O350,""en"",""bn"")"),"পূর্ণিমা চক্রবর্তী")</f>
        <v>পূর্ণিমা চক্রবর্তী</v>
      </c>
      <c r="Q350" s="2" t="s">
        <v>34</v>
      </c>
      <c r="S350" s="2" t="s">
        <v>34</v>
      </c>
      <c r="V350" s="2" t="s">
        <v>868</v>
      </c>
      <c r="W350" s="2">
        <v>2</v>
      </c>
    </row>
    <row r="351" spans="1:23" ht="15.75" customHeight="1" x14ac:dyDescent="0.35">
      <c r="A351" s="2" t="s">
        <v>23</v>
      </c>
      <c r="L351" s="2">
        <v>176</v>
      </c>
      <c r="M351" s="2" t="s">
        <v>139</v>
      </c>
      <c r="O351" s="2" t="s">
        <v>869</v>
      </c>
      <c r="P351" s="2" t="str">
        <f ca="1">IFERROR(__xludf.DUMMYFUNCTION("GOOGLETRANSLATE(O351,""en"",""bn"")"),"রুদ্র প্রসাদ ব্যানার্জী")</f>
        <v>রুদ্র প্রসাদ ব্যানার্জী</v>
      </c>
      <c r="Q351" s="2" t="s">
        <v>34</v>
      </c>
      <c r="S351" s="2" t="s">
        <v>34</v>
      </c>
      <c r="V351" s="2" t="s">
        <v>870</v>
      </c>
      <c r="W351" s="2">
        <v>2</v>
      </c>
    </row>
    <row r="352" spans="1:23" ht="15.75" customHeight="1" x14ac:dyDescent="0.35">
      <c r="A352" s="2" t="s">
        <v>23</v>
      </c>
      <c r="L352" s="2">
        <v>132</v>
      </c>
      <c r="M352" s="2" t="s">
        <v>220</v>
      </c>
      <c r="O352" s="2" t="s">
        <v>871</v>
      </c>
      <c r="P352" s="2" t="str">
        <f ca="1">IFERROR(__xludf.DUMMYFUNCTION("GOOGLETRANSLATE(O352,""en"",""bn"")"),"ব্যাঙ্কিম চন্দ্র হাজরা")</f>
        <v>ব্যাঙ্কিম চন্দ্র হাজরা</v>
      </c>
      <c r="Q352" s="2" t="s">
        <v>26</v>
      </c>
      <c r="S352" s="2" t="s">
        <v>26</v>
      </c>
      <c r="V352" s="2" t="s">
        <v>872</v>
      </c>
      <c r="W352" s="2">
        <v>2</v>
      </c>
    </row>
    <row r="353" spans="1:23" ht="15.75" customHeight="1" x14ac:dyDescent="0.35">
      <c r="A353" s="2" t="s">
        <v>23</v>
      </c>
      <c r="L353" s="2">
        <v>180</v>
      </c>
      <c r="M353" s="2" t="s">
        <v>324</v>
      </c>
      <c r="O353" s="2" t="s">
        <v>873</v>
      </c>
      <c r="P353" s="2" t="str">
        <f ca="1">IFERROR(__xludf.DUMMYFUNCTION("GOOGLETRANSLATE(O353,""en"",""bn"")"),"ভাস্কর রায়")</f>
        <v>ভাস্কর রায়</v>
      </c>
      <c r="Q353" s="2" t="s">
        <v>45</v>
      </c>
      <c r="S353" s="2" t="s">
        <v>45</v>
      </c>
      <c r="V353" s="2" t="s">
        <v>874</v>
      </c>
      <c r="W353" s="2">
        <v>2</v>
      </c>
    </row>
    <row r="354" spans="1:23" ht="15.75" customHeight="1" x14ac:dyDescent="0.35">
      <c r="A354" s="2" t="s">
        <v>23</v>
      </c>
      <c r="L354" s="2">
        <v>268</v>
      </c>
      <c r="M354" s="2" t="s">
        <v>286</v>
      </c>
      <c r="O354" s="2" t="s">
        <v>875</v>
      </c>
      <c r="P354" s="2" t="str">
        <f ca="1">IFERROR(__xludf.DUMMYFUNCTION("GOOGLETRANSLATE(O354,""en"",""bn"")"),"রবীন্দ্রনাথ মণ্ডল")</f>
        <v>রবীন্দ্রনাথ মণ্ডল</v>
      </c>
      <c r="Q354" s="2" t="s">
        <v>41</v>
      </c>
      <c r="S354" s="2" t="s">
        <v>41</v>
      </c>
      <c r="V354" s="2" t="s">
        <v>876</v>
      </c>
      <c r="W354" s="2">
        <v>2</v>
      </c>
    </row>
    <row r="355" spans="1:23" ht="15.75" customHeight="1" x14ac:dyDescent="0.35">
      <c r="A355" s="2" t="s">
        <v>23</v>
      </c>
      <c r="L355" s="2">
        <v>135</v>
      </c>
      <c r="M355" s="2" t="s">
        <v>333</v>
      </c>
      <c r="O355" s="2" t="s">
        <v>877</v>
      </c>
      <c r="P355" s="2" t="str">
        <f ca="1">IFERROR(__xludf.DUMMYFUNCTION("GOOGLETRANSLATE(O355,""en"",""bn"")"),"মল্লিকা পাইক - অশোক পাইক")</f>
        <v>মল্লিকা পাইক - অশোক পাইক</v>
      </c>
      <c r="Q355" s="2" t="s">
        <v>34</v>
      </c>
      <c r="S355" s="2" t="s">
        <v>34</v>
      </c>
      <c r="V355" s="2" t="s">
        <v>878</v>
      </c>
      <c r="W355" s="2">
        <v>2</v>
      </c>
    </row>
    <row r="356" spans="1:23" ht="15.75" customHeight="1" x14ac:dyDescent="0.35">
      <c r="A356" s="2" t="s">
        <v>23</v>
      </c>
      <c r="L356" s="2">
        <v>122</v>
      </c>
      <c r="M356" s="2" t="s">
        <v>232</v>
      </c>
      <c r="O356" s="2" t="s">
        <v>879</v>
      </c>
      <c r="P356" s="2" t="str">
        <f ca="1">IFERROR(__xludf.DUMMYFUNCTION("GOOGLETRANSLATE(O356,""en"",""bn"")"),"সুনয়না বিশ্বাস")</f>
        <v>সুনয়না বিশ্বাস</v>
      </c>
      <c r="Q356" s="2" t="s">
        <v>41</v>
      </c>
      <c r="S356" s="2" t="s">
        <v>41</v>
      </c>
      <c r="V356" s="2" t="s">
        <v>880</v>
      </c>
      <c r="W356" s="2">
        <v>2</v>
      </c>
    </row>
    <row r="357" spans="1:23" ht="15.75" customHeight="1" x14ac:dyDescent="0.35">
      <c r="A357" s="2" t="s">
        <v>23</v>
      </c>
      <c r="L357" s="2">
        <v>95</v>
      </c>
      <c r="M357" s="2" t="s">
        <v>142</v>
      </c>
      <c r="O357" s="2" t="s">
        <v>881</v>
      </c>
      <c r="P357" s="2" t="str">
        <f ca="1">IFERROR(__xludf.DUMMYFUNCTION("GOOGLETRANSLATE(O357,""en"",""bn"")"),"পিজুশ কান্তি সাহা")</f>
        <v>পিজুশ কান্তি সাহা</v>
      </c>
      <c r="Q357" s="2" t="s">
        <v>45</v>
      </c>
      <c r="S357" s="2" t="s">
        <v>45</v>
      </c>
      <c r="V357" s="2" t="s">
        <v>882</v>
      </c>
      <c r="W357" s="2">
        <v>2</v>
      </c>
    </row>
    <row r="358" spans="1:23" ht="15.75" customHeight="1" x14ac:dyDescent="0.35">
      <c r="A358" s="2" t="s">
        <v>23</v>
      </c>
      <c r="L358" s="2">
        <v>81</v>
      </c>
      <c r="M358" s="2" t="s">
        <v>217</v>
      </c>
      <c r="O358" s="2" t="s">
        <v>883</v>
      </c>
      <c r="P358" s="2" t="str">
        <f ca="1">IFERROR(__xludf.DUMMYFUNCTION("GOOGLETRANSLATE(O358,""en"",""bn"")"),"বিমল রায়")</f>
        <v>বিমল রায়</v>
      </c>
      <c r="Q358" s="2" t="s">
        <v>49</v>
      </c>
      <c r="S358" s="2" t="s">
        <v>49</v>
      </c>
      <c r="V358" s="2" t="s">
        <v>884</v>
      </c>
      <c r="W358" s="2">
        <v>2</v>
      </c>
    </row>
    <row r="359" spans="1:23" ht="15.75" customHeight="1" x14ac:dyDescent="0.35">
      <c r="A359" s="2" t="s">
        <v>23</v>
      </c>
      <c r="L359" s="2">
        <v>172</v>
      </c>
      <c r="M359" s="2" t="s">
        <v>28</v>
      </c>
      <c r="O359" s="2" t="s">
        <v>885</v>
      </c>
      <c r="P359" s="2" t="str">
        <f ca="1">IFERROR(__xludf.DUMMYFUNCTION("GOOGLETRANSLATE(O359,""en"",""bn"")"),"ডঃ রানা চ্যাটার্জী")</f>
        <v>ডঃ রানা চ্যাটার্জী</v>
      </c>
      <c r="Q359" s="2" t="s">
        <v>26</v>
      </c>
      <c r="S359" s="2" t="s">
        <v>26</v>
      </c>
      <c r="V359" s="2" t="s">
        <v>886</v>
      </c>
      <c r="W359" s="2">
        <v>2</v>
      </c>
    </row>
    <row r="360" spans="1:23" ht="15.75" customHeight="1" x14ac:dyDescent="0.35">
      <c r="A360" s="2" t="s">
        <v>23</v>
      </c>
      <c r="L360" s="2">
        <v>93</v>
      </c>
      <c r="M360" s="2" t="s">
        <v>187</v>
      </c>
      <c r="O360" s="2" t="s">
        <v>887</v>
      </c>
      <c r="P360" s="2" t="str">
        <f ca="1">IFERROR(__xludf.DUMMYFUNCTION("GOOGLETRANSLATE(O360,""en"",""bn"")"),"ডাঃ রাজিব বিশ্বাস।")</f>
        <v>ডাঃ রাজিব বিশ্বাস।</v>
      </c>
      <c r="Q360" s="2" t="s">
        <v>26</v>
      </c>
      <c r="S360" s="2" t="s">
        <v>26</v>
      </c>
      <c r="V360" s="2" t="s">
        <v>888</v>
      </c>
      <c r="W360" s="2">
        <v>2</v>
      </c>
    </row>
    <row r="361" spans="1:23" ht="15.75" customHeight="1" x14ac:dyDescent="0.35">
      <c r="A361" s="2" t="s">
        <v>23</v>
      </c>
      <c r="L361" s="2">
        <v>260</v>
      </c>
      <c r="M361" s="2" t="s">
        <v>292</v>
      </c>
      <c r="O361" s="2" t="s">
        <v>889</v>
      </c>
      <c r="P361" s="2" t="str">
        <f ca="1">IFERROR(__xludf.DUMMYFUNCTION("GOOGLETRANSLATE(O361,""en"",""bn"")"),"পুষ্পা হান্সদা")</f>
        <v>পুষ্পা হান্সদা</v>
      </c>
      <c r="Q361" s="2" t="s">
        <v>49</v>
      </c>
      <c r="S361" s="2" t="s">
        <v>49</v>
      </c>
      <c r="V361" s="2" t="s">
        <v>890</v>
      </c>
      <c r="W361" s="2">
        <v>2</v>
      </c>
    </row>
    <row r="362" spans="1:23" ht="15.75" customHeight="1" x14ac:dyDescent="0.35">
      <c r="A362" s="2" t="s">
        <v>23</v>
      </c>
      <c r="L362" s="2">
        <v>90</v>
      </c>
      <c r="M362" s="2" t="s">
        <v>280</v>
      </c>
      <c r="O362" s="2" t="s">
        <v>891</v>
      </c>
      <c r="P362" s="2" t="str">
        <f ca="1">IFERROR(__xludf.DUMMYFUNCTION("GOOGLETRANSLATE(O362,""en"",""bn"")"),"বীরেন্দ্রনাথ পোদ্দার")</f>
        <v>বীরেন্দ্রনাথ পোদ্দার</v>
      </c>
      <c r="Q362" s="2" t="s">
        <v>49</v>
      </c>
      <c r="S362" s="2" t="s">
        <v>49</v>
      </c>
      <c r="V362" s="2" t="s">
        <v>892</v>
      </c>
      <c r="W362" s="2">
        <v>2</v>
      </c>
    </row>
    <row r="363" spans="1:23" ht="15.75" customHeight="1" x14ac:dyDescent="0.35">
      <c r="A363" s="2" t="s">
        <v>23</v>
      </c>
      <c r="L363" s="2">
        <v>115</v>
      </c>
      <c r="M363" s="2" t="s">
        <v>84</v>
      </c>
      <c r="O363" s="2" t="s">
        <v>893</v>
      </c>
      <c r="P363" s="2" t="str">
        <f ca="1">IFERROR(__xludf.DUMMYFUNCTION("GOOGLETRANSLATE(O363,""en"",""bn"")"),"এসকে নিজামুদ্দিন")</f>
        <v>এসকে নিজামুদ্দিন</v>
      </c>
      <c r="Q363" s="2" t="s">
        <v>41</v>
      </c>
      <c r="S363" s="2" t="s">
        <v>41</v>
      </c>
      <c r="V363" s="2" t="s">
        <v>894</v>
      </c>
      <c r="W363" s="2">
        <v>2</v>
      </c>
    </row>
    <row r="364" spans="1:23" ht="15.75" customHeight="1" x14ac:dyDescent="0.35">
      <c r="A364" s="2" t="s">
        <v>23</v>
      </c>
      <c r="L364" s="2">
        <v>96</v>
      </c>
      <c r="M364" s="2" t="s">
        <v>229</v>
      </c>
      <c r="O364" s="2" t="s">
        <v>895</v>
      </c>
      <c r="P364" s="2" t="str">
        <f ca="1">IFERROR(__xludf.DUMMYFUNCTION("GOOGLETRANSLATE(O364,""en"",""bn"")"),"কিশোর কুমার বিশ্বাস")</f>
        <v>কিশোর কুমার বিশ্বাস</v>
      </c>
      <c r="Q364" s="2" t="s">
        <v>41</v>
      </c>
      <c r="S364" s="2" t="s">
        <v>41</v>
      </c>
      <c r="V364" s="2" t="s">
        <v>896</v>
      </c>
      <c r="W364" s="2">
        <v>2</v>
      </c>
    </row>
    <row r="365" spans="1:23" ht="15.75" customHeight="1" x14ac:dyDescent="0.35">
      <c r="A365" s="2" t="s">
        <v>23</v>
      </c>
      <c r="L365" s="2">
        <v>156</v>
      </c>
      <c r="M365" s="2" t="s">
        <v>94</v>
      </c>
      <c r="O365" s="2" t="s">
        <v>897</v>
      </c>
      <c r="P365" s="2" t="str">
        <f ca="1">IFERROR(__xludf.DUMMYFUNCTION("GOOGLETRANSLATE(O365,""en"",""bn"")"),"মুজিবর রহমান কায়াল")</f>
        <v>মুজিবর রহমান কায়াল</v>
      </c>
      <c r="Q365" s="2" t="s">
        <v>41</v>
      </c>
      <c r="S365" s="2" t="s">
        <v>41</v>
      </c>
      <c r="V365" s="2" t="s">
        <v>898</v>
      </c>
      <c r="W365" s="2">
        <v>2</v>
      </c>
    </row>
    <row r="366" spans="1:23" ht="15.75" customHeight="1" x14ac:dyDescent="0.35">
      <c r="A366" s="2" t="s">
        <v>23</v>
      </c>
      <c r="L366" s="2">
        <v>259</v>
      </c>
      <c r="M366" s="2" t="s">
        <v>453</v>
      </c>
      <c r="O366" s="2" t="s">
        <v>899</v>
      </c>
      <c r="P366" s="2" t="str">
        <f ca="1">IFERROR(__xludf.DUMMYFUNCTION("GOOGLETRANSLATE(O366,""en"",""bn"")"),"গৌতম ধারা")</f>
        <v>গৌতম ধারা</v>
      </c>
      <c r="Q366" s="2" t="s">
        <v>34</v>
      </c>
      <c r="S366" s="2" t="s">
        <v>34</v>
      </c>
      <c r="V366" s="2" t="s">
        <v>900</v>
      </c>
      <c r="W366" s="2">
        <v>2</v>
      </c>
    </row>
    <row r="367" spans="1:23" ht="15.75" customHeight="1" x14ac:dyDescent="0.35">
      <c r="A367" s="2" t="s">
        <v>23</v>
      </c>
      <c r="L367" s="2">
        <v>78</v>
      </c>
      <c r="M367" s="2" t="s">
        <v>47</v>
      </c>
      <c r="O367" s="2" t="s">
        <v>901</v>
      </c>
      <c r="P367" s="2" t="str">
        <f ca="1">IFERROR(__xludf.DUMMYFUNCTION("GOOGLETRANSLATE(O367,""en"",""bn"")"),"দিলীপ কুমার পোদ্দার")</f>
        <v>দিলীপ কুমার পোদ্দার</v>
      </c>
      <c r="Q367" s="2" t="s">
        <v>26</v>
      </c>
      <c r="S367" s="2" t="s">
        <v>26</v>
      </c>
      <c r="V367" s="2" t="s">
        <v>902</v>
      </c>
      <c r="W367" s="2">
        <v>2</v>
      </c>
    </row>
    <row r="368" spans="1:23" ht="15.75" customHeight="1" x14ac:dyDescent="0.35">
      <c r="A368" s="2" t="s">
        <v>23</v>
      </c>
      <c r="L368" s="2">
        <v>186</v>
      </c>
      <c r="M368" s="2" t="s">
        <v>250</v>
      </c>
      <c r="O368" s="2" t="s">
        <v>903</v>
      </c>
      <c r="P368" s="2" t="str">
        <f ca="1">IFERROR(__xludf.DUMMYFUNCTION("GOOGLETRANSLATE(O368,""en"",""bn"")"),"ভাস্কর ভট্টাচার্য")</f>
        <v>ভাস্কর ভট্টাচার্য</v>
      </c>
      <c r="Q368" s="2" t="s">
        <v>34</v>
      </c>
      <c r="S368" s="2" t="s">
        <v>34</v>
      </c>
      <c r="V368" s="2" t="s">
        <v>904</v>
      </c>
      <c r="W368" s="2">
        <v>2</v>
      </c>
    </row>
    <row r="369" spans="1:23" ht="15.75" customHeight="1" x14ac:dyDescent="0.35">
      <c r="A369" s="2" t="s">
        <v>23</v>
      </c>
      <c r="L369" s="2">
        <v>119</v>
      </c>
      <c r="M369" s="2" t="s">
        <v>327</v>
      </c>
      <c r="O369" s="2" t="s">
        <v>905</v>
      </c>
      <c r="P369" s="2" t="str">
        <f ca="1">IFERROR(__xludf.DUMMYFUNCTION("GOOGLETRANSLATE(O369,""en"",""bn"")"),"শঙ্কর চ্যাটার্জী")</f>
        <v>শঙ্কর চ্যাটার্জী</v>
      </c>
      <c r="Q369" s="2" t="s">
        <v>34</v>
      </c>
      <c r="S369" s="2" t="s">
        <v>34</v>
      </c>
      <c r="V369" s="2" t="s">
        <v>906</v>
      </c>
      <c r="W369" s="2">
        <v>2</v>
      </c>
    </row>
    <row r="370" spans="1:23" ht="15.75" customHeight="1" x14ac:dyDescent="0.35">
      <c r="A370" s="2" t="s">
        <v>23</v>
      </c>
      <c r="L370" s="2">
        <v>88</v>
      </c>
      <c r="M370" s="2" t="s">
        <v>306</v>
      </c>
      <c r="O370" s="2" t="s">
        <v>907</v>
      </c>
      <c r="P370" s="2" t="str">
        <f ca="1">IFERROR(__xludf.DUMMYFUNCTION("GOOGLETRANSLATE(O370,""en"",""bn"")"),"শঙ্কর সরকার")</f>
        <v>শঙ্কর সরকার</v>
      </c>
      <c r="Q370" s="2" t="s">
        <v>41</v>
      </c>
      <c r="S370" s="2" t="s">
        <v>41</v>
      </c>
      <c r="V370" s="2" t="s">
        <v>908</v>
      </c>
      <c r="W370" s="2">
        <v>2</v>
      </c>
    </row>
    <row r="371" spans="1:23" ht="15.75" customHeight="1" x14ac:dyDescent="0.35">
      <c r="A371" s="2" t="s">
        <v>23</v>
      </c>
      <c r="L371" s="2">
        <v>191</v>
      </c>
      <c r="M371" s="2" t="s">
        <v>271</v>
      </c>
      <c r="O371" s="2" t="s">
        <v>909</v>
      </c>
      <c r="P371" s="2" t="str">
        <f ca="1">IFERROR(__xludf.DUMMYFUNCTION("GOOGLETRANSLATE(O371,""en"",""bn"")"),"রঞ্জন ধারা")</f>
        <v>রঞ্জন ধারা</v>
      </c>
      <c r="Q371" s="2" t="s">
        <v>26</v>
      </c>
      <c r="S371" s="2" t="s">
        <v>26</v>
      </c>
      <c r="V371" s="2" t="s">
        <v>910</v>
      </c>
      <c r="W371" s="2">
        <v>2</v>
      </c>
    </row>
    <row r="372" spans="1:23" ht="15.75" customHeight="1" x14ac:dyDescent="0.35">
      <c r="A372" s="2" t="s">
        <v>23</v>
      </c>
      <c r="L372" s="2">
        <v>133</v>
      </c>
      <c r="M372" s="2" t="s">
        <v>384</v>
      </c>
      <c r="O372" s="2" t="s">
        <v>911</v>
      </c>
      <c r="P372" s="2" t="str">
        <f ca="1">IFERROR(__xludf.DUMMYFUNCTION("GOOGLETRANSLATE(O372,""en"",""bn"")"),"বার্নালি ধারা")</f>
        <v>বার্নালি ধারা</v>
      </c>
      <c r="Q372" s="2" t="s">
        <v>26</v>
      </c>
      <c r="S372" s="2" t="s">
        <v>26</v>
      </c>
      <c r="V372" s="2" t="s">
        <v>912</v>
      </c>
      <c r="W372" s="2">
        <v>2</v>
      </c>
    </row>
    <row r="373" spans="1:23" ht="15.75" customHeight="1" x14ac:dyDescent="0.35">
      <c r="A373" s="2" t="s">
        <v>23</v>
      </c>
      <c r="L373" s="2">
        <v>175</v>
      </c>
      <c r="M373" s="2" t="s">
        <v>330</v>
      </c>
      <c r="O373" s="2" t="s">
        <v>913</v>
      </c>
      <c r="P373" s="2" t="str">
        <f ca="1">IFERROR(__xludf.DUMMYFUNCTION("GOOGLETRANSLATE(O373,""en"",""bn"")"),"রঞ্জন পল")</f>
        <v>রঞ্জন পল</v>
      </c>
      <c r="Q373" s="2" t="s">
        <v>34</v>
      </c>
      <c r="S373" s="2" t="s">
        <v>34</v>
      </c>
      <c r="V373" s="2" t="s">
        <v>914</v>
      </c>
      <c r="W373" s="2">
        <v>2</v>
      </c>
    </row>
    <row r="374" spans="1:23" ht="15.75" customHeight="1" x14ac:dyDescent="0.35">
      <c r="A374" s="2" t="s">
        <v>23</v>
      </c>
      <c r="L374" s="2">
        <v>171</v>
      </c>
      <c r="M374" s="2" t="s">
        <v>87</v>
      </c>
      <c r="O374" s="2" t="s">
        <v>915</v>
      </c>
      <c r="P374" s="2" t="str">
        <f ca="1">IFERROR(__xludf.DUMMYFUNCTION("GOOGLETRANSLATE(O374,""en"",""bn"")"),"ইমতিয়াজ আহমেদ")</f>
        <v>ইমতিয়াজ আহমেদ</v>
      </c>
      <c r="Q374" s="2" t="s">
        <v>45</v>
      </c>
      <c r="S374" s="2" t="s">
        <v>45</v>
      </c>
      <c r="V374" s="2" t="s">
        <v>916</v>
      </c>
      <c r="W374" s="2">
        <v>2</v>
      </c>
    </row>
    <row r="375" spans="1:23" ht="15.75" customHeight="1" x14ac:dyDescent="0.35">
      <c r="A375" s="2" t="s">
        <v>23</v>
      </c>
      <c r="L375" s="2">
        <v>173</v>
      </c>
      <c r="M375" s="2" t="s">
        <v>127</v>
      </c>
      <c r="O375" s="2" t="s">
        <v>917</v>
      </c>
      <c r="P375" s="2" t="str">
        <f ca="1">IFERROR(__xludf.DUMMYFUNCTION("GOOGLETRANSLATE(O375,""en"",""bn"")"),"নন্দিতা চৌধুরী")</f>
        <v>নন্দিতা চৌধুরী</v>
      </c>
      <c r="Q375" s="2" t="s">
        <v>26</v>
      </c>
      <c r="S375" s="2" t="s">
        <v>26</v>
      </c>
      <c r="V375" s="2" t="s">
        <v>918</v>
      </c>
      <c r="W375" s="2">
        <v>2</v>
      </c>
    </row>
    <row r="376" spans="1:23" ht="15.75" customHeight="1" x14ac:dyDescent="0.35">
      <c r="A376" s="2" t="s">
        <v>23</v>
      </c>
      <c r="L376" s="2">
        <v>194</v>
      </c>
      <c r="M376" s="2" t="s">
        <v>205</v>
      </c>
      <c r="O376" s="2" t="s">
        <v>919</v>
      </c>
      <c r="P376" s="2" t="str">
        <f ca="1">IFERROR(__xludf.DUMMYFUNCTION("GOOGLETRANSLATE(O376,""en"",""bn"")"),"দেবাশিস মুখার্জি")</f>
        <v>দেবাশিস মুখার্জি</v>
      </c>
      <c r="Q376" s="2" t="s">
        <v>34</v>
      </c>
      <c r="S376" s="2" t="s">
        <v>34</v>
      </c>
      <c r="V376" s="2" t="s">
        <v>920</v>
      </c>
      <c r="W376" s="2">
        <v>2</v>
      </c>
    </row>
    <row r="377" spans="1:23" ht="15.75" customHeight="1" x14ac:dyDescent="0.35">
      <c r="A377" s="2" t="s">
        <v>23</v>
      </c>
      <c r="L377" s="2">
        <v>170</v>
      </c>
      <c r="M377" s="2" t="s">
        <v>438</v>
      </c>
      <c r="O377" s="2" t="s">
        <v>921</v>
      </c>
      <c r="P377" s="2" t="str">
        <f ca="1">IFERROR(__xludf.DUMMYFUNCTION("GOOGLETRANSLATE(O377,""en"",""bn"")"),"গৌতম চৌধুরী")</f>
        <v>গৌতম চৌধুরী</v>
      </c>
      <c r="Q377" s="2" t="s">
        <v>26</v>
      </c>
      <c r="S377" s="2" t="s">
        <v>26</v>
      </c>
      <c r="V377" s="2" t="s">
        <v>922</v>
      </c>
      <c r="W377" s="2">
        <v>2</v>
      </c>
    </row>
    <row r="378" spans="1:23" ht="15.75" customHeight="1" x14ac:dyDescent="0.35">
      <c r="A378" s="2" t="s">
        <v>23</v>
      </c>
      <c r="L378" s="2">
        <v>188</v>
      </c>
      <c r="M378" s="2" t="s">
        <v>106</v>
      </c>
      <c r="O378" s="2" t="s">
        <v>923</v>
      </c>
      <c r="P378" s="2" t="str">
        <f ca="1">IFERROR(__xludf.DUMMYFUNCTION("GOOGLETRANSLATE(O378,""en"",""bn"")"),"পল্লবী রায়")</f>
        <v>পল্লবী রায়</v>
      </c>
      <c r="Q378" s="2" t="s">
        <v>49</v>
      </c>
      <c r="S378" s="2" t="s">
        <v>49</v>
      </c>
      <c r="V378" s="2" t="s">
        <v>924</v>
      </c>
      <c r="W378" s="2">
        <v>2</v>
      </c>
    </row>
    <row r="379" spans="1:23" ht="15.75" customHeight="1" x14ac:dyDescent="0.35">
      <c r="A379" s="2" t="s">
        <v>23</v>
      </c>
      <c r="L379" s="2">
        <v>102</v>
      </c>
      <c r="M379" s="2" t="s">
        <v>169</v>
      </c>
      <c r="O379" s="2" t="s">
        <v>925</v>
      </c>
      <c r="P379" s="2" t="str">
        <f ca="1">IFERROR(__xludf.DUMMYFUNCTION("GOOGLETRANSLATE(O379,""en"",""bn"")"),"গোপাল ঘোষ")</f>
        <v>গোপাল ঘোষ</v>
      </c>
      <c r="Q379" s="2" t="s">
        <v>41</v>
      </c>
      <c r="S379" s="2" t="s">
        <v>41</v>
      </c>
      <c r="V379" s="2" t="s">
        <v>926</v>
      </c>
      <c r="W379" s="2">
        <v>2</v>
      </c>
    </row>
    <row r="380" spans="1:23" ht="15.75" customHeight="1" x14ac:dyDescent="0.35">
      <c r="A380" s="2" t="s">
        <v>23</v>
      </c>
      <c r="L380" s="2">
        <v>162</v>
      </c>
      <c r="M380" s="2" t="s">
        <v>411</v>
      </c>
      <c r="O380" s="2" t="s">
        <v>927</v>
      </c>
      <c r="P380" s="2" t="str">
        <f ca="1">IFERROR(__xludf.DUMMYFUNCTION("GOOGLETRANSLATE(O380,""en"",""bn"")"),"সঞ্জয় বসু")</f>
        <v>সঞ্জয় বসু</v>
      </c>
      <c r="Q380" s="2" t="s">
        <v>45</v>
      </c>
      <c r="S380" s="2" t="s">
        <v>45</v>
      </c>
      <c r="V380" s="2" t="s">
        <v>928</v>
      </c>
      <c r="W380" s="2">
        <v>2</v>
      </c>
    </row>
    <row r="381" spans="1:23" ht="15.75" customHeight="1" x14ac:dyDescent="0.35">
      <c r="A381" s="2" t="s">
        <v>23</v>
      </c>
      <c r="L381" s="2">
        <v>86</v>
      </c>
      <c r="M381" s="2" t="s">
        <v>432</v>
      </c>
      <c r="O381" s="2" t="s">
        <v>929</v>
      </c>
      <c r="P381" s="2" t="str">
        <f ca="1">IFERROR(__xludf.DUMMYFUNCTION("GOOGLETRANSLATE(O381,""en"",""bn"")"),"ব্রজকিশোর গোস্বামী")</f>
        <v>ব্রজকিশোর গোস্বামী</v>
      </c>
      <c r="Q381" s="2" t="s">
        <v>26</v>
      </c>
      <c r="S381" s="2" t="s">
        <v>26</v>
      </c>
      <c r="V381" s="2" t="s">
        <v>930</v>
      </c>
      <c r="W381" s="2">
        <v>2</v>
      </c>
    </row>
    <row r="382" spans="1:23" ht="15.75" customHeight="1" x14ac:dyDescent="0.35">
      <c r="A382" s="2" t="s">
        <v>23</v>
      </c>
      <c r="L382" s="2">
        <v>196</v>
      </c>
      <c r="M382" s="2" t="s">
        <v>148</v>
      </c>
      <c r="O382" s="2" t="s">
        <v>931</v>
      </c>
      <c r="P382" s="2" t="str">
        <f ca="1">IFERROR(__xludf.DUMMYFUNCTION("GOOGLETRANSLATE(O382,""en"",""bn"")"),"মধুমিতা ঘোষ")</f>
        <v>মধুমিতা ঘোষ</v>
      </c>
      <c r="Q382" s="2" t="s">
        <v>34</v>
      </c>
      <c r="S382" s="2" t="s">
        <v>34</v>
      </c>
      <c r="V382" s="2" t="s">
        <v>932</v>
      </c>
      <c r="W382" s="2">
        <v>2</v>
      </c>
    </row>
    <row r="383" spans="1:23" ht="15.75" customHeight="1" x14ac:dyDescent="0.35">
      <c r="A383" s="2" t="s">
        <v>23</v>
      </c>
      <c r="L383" s="2">
        <v>147</v>
      </c>
      <c r="M383" s="2" t="s">
        <v>265</v>
      </c>
      <c r="O383" s="2" t="s">
        <v>933</v>
      </c>
      <c r="P383" s="2" t="str">
        <f ca="1">IFERROR(__xludf.DUMMYFUNCTION("GOOGLETRANSLATE(O383,""en"",""bn"")"),"রূপা গাঙ্গুলী")</f>
        <v>রূপা গাঙ্গুলী</v>
      </c>
      <c r="Q383" s="2" t="s">
        <v>34</v>
      </c>
      <c r="S383" s="2" t="s">
        <v>34</v>
      </c>
      <c r="V383" s="2" t="s">
        <v>934</v>
      </c>
      <c r="W383" s="2">
        <v>2</v>
      </c>
    </row>
    <row r="384" spans="1:23" ht="15.75" customHeight="1" x14ac:dyDescent="0.35">
      <c r="A384" s="2" t="s">
        <v>23</v>
      </c>
      <c r="L384" s="2">
        <v>154</v>
      </c>
      <c r="M384" s="2" t="s">
        <v>136</v>
      </c>
      <c r="O384" s="2" t="s">
        <v>935</v>
      </c>
      <c r="P384" s="2" t="str">
        <f ca="1">IFERROR(__xludf.DUMMYFUNCTION("GOOGLETRANSLATE(O384,""en"",""bn"")"),"নিহার ভক্ত")</f>
        <v>নিহার ভক্ত</v>
      </c>
      <c r="Q384" s="2" t="s">
        <v>45</v>
      </c>
      <c r="S384" s="2" t="s">
        <v>45</v>
      </c>
      <c r="V384" s="2" t="s">
        <v>936</v>
      </c>
      <c r="W384" s="2">
        <v>2</v>
      </c>
    </row>
    <row r="385" spans="1:23" ht="15.75" customHeight="1" x14ac:dyDescent="0.35">
      <c r="A385" s="2" t="s">
        <v>23</v>
      </c>
      <c r="L385" s="2">
        <v>114</v>
      </c>
      <c r="M385" s="2" t="s">
        <v>303</v>
      </c>
      <c r="O385" s="2" t="s">
        <v>937</v>
      </c>
      <c r="P385" s="2" t="str">
        <f ca="1">IFERROR(__xludf.DUMMYFUNCTION("GOOGLETRANSLATE(O385,""en"",""bn"")"),"মায়ুখ বিশ্বাস")</f>
        <v>মায়ুখ বিশ্বাস</v>
      </c>
      <c r="Q385" s="2" t="s">
        <v>45</v>
      </c>
      <c r="S385" s="2" t="s">
        <v>45</v>
      </c>
      <c r="V385" s="2" t="s">
        <v>938</v>
      </c>
      <c r="W385" s="2">
        <v>2</v>
      </c>
    </row>
    <row r="386" spans="1:23" ht="15.75" customHeight="1" x14ac:dyDescent="0.35">
      <c r="A386" s="2" t="s">
        <v>23</v>
      </c>
      <c r="L386" s="2">
        <v>77</v>
      </c>
      <c r="M386" s="2" t="s">
        <v>202</v>
      </c>
      <c r="O386" s="2" t="s">
        <v>939</v>
      </c>
      <c r="P386" s="2" t="str">
        <f ca="1">IFERROR(__xludf.DUMMYFUNCTION("GOOGLETRANSLATE(O386,""en"",""bn"")"),"প্রভাস মজুমদার")</f>
        <v>প্রভাস মজুমদার</v>
      </c>
      <c r="Q386" s="2" t="s">
        <v>45</v>
      </c>
      <c r="S386" s="2" t="s">
        <v>45</v>
      </c>
      <c r="V386" s="2" t="s">
        <v>940</v>
      </c>
      <c r="W386" s="2">
        <v>2</v>
      </c>
    </row>
    <row r="387" spans="1:23" ht="15.75" customHeight="1" x14ac:dyDescent="0.35">
      <c r="A387" s="2" t="s">
        <v>23</v>
      </c>
      <c r="L387" s="2">
        <v>164</v>
      </c>
      <c r="M387" s="2" t="s">
        <v>402</v>
      </c>
      <c r="O387" s="2" t="s">
        <v>941</v>
      </c>
      <c r="P387" s="2" t="str">
        <f ca="1">IFERROR(__xludf.DUMMYFUNCTION("GOOGLETRANSLATE(O387,""en"",""bn"")"),"পার্থ চৌধুরী")</f>
        <v>পার্থ চৌধুরী</v>
      </c>
      <c r="Q387" s="2" t="s">
        <v>34</v>
      </c>
      <c r="S387" s="2" t="s">
        <v>34</v>
      </c>
      <c r="V387" s="2" t="s">
        <v>942</v>
      </c>
      <c r="W387" s="2">
        <v>2</v>
      </c>
    </row>
    <row r="388" spans="1:23" ht="15.75" customHeight="1" x14ac:dyDescent="0.35">
      <c r="A388" s="2" t="s">
        <v>23</v>
      </c>
      <c r="L388" s="2">
        <v>142</v>
      </c>
      <c r="M388" s="2" t="s">
        <v>414</v>
      </c>
      <c r="O388" s="2" t="s">
        <v>943</v>
      </c>
      <c r="P388" s="2" t="str">
        <f ca="1">IFERROR(__xludf.DUMMYFUNCTION("GOOGLETRANSLATE(O388,""en"",""bn"")"),"এমডি. সামিম আহমেদ মোল্লা")</f>
        <v>এমডি. সামিম আহমেদ মোল্লা</v>
      </c>
      <c r="Q388" s="2" t="s">
        <v>26</v>
      </c>
      <c r="S388" s="2" t="s">
        <v>26</v>
      </c>
      <c r="V388" s="2" t="s">
        <v>944</v>
      </c>
      <c r="W388" s="2">
        <v>2</v>
      </c>
    </row>
    <row r="389" spans="1:23" ht="15.75" customHeight="1" x14ac:dyDescent="0.35">
      <c r="A389" s="2" t="s">
        <v>23</v>
      </c>
      <c r="L389" s="2">
        <v>185</v>
      </c>
      <c r="M389" s="2" t="s">
        <v>241</v>
      </c>
      <c r="O389" s="2" t="s">
        <v>945</v>
      </c>
      <c r="P389" s="2" t="str">
        <f ca="1">IFERROR(__xludf.DUMMYFUNCTION("GOOGLETRANSLATE(O389,""en"",""bn"")"),"সির্সন্যা বন্দ্যোপাধ্যায়")</f>
        <v>সির্সন্যা বন্দ্যোপাধ্যায়</v>
      </c>
      <c r="Q389" s="2" t="s">
        <v>26</v>
      </c>
      <c r="S389" s="2" t="s">
        <v>26</v>
      </c>
      <c r="V389" s="2" t="s">
        <v>946</v>
      </c>
      <c r="W389" s="2">
        <v>2</v>
      </c>
    </row>
    <row r="390" spans="1:23" ht="15.75" customHeight="1" x14ac:dyDescent="0.35">
      <c r="A390" s="2" t="s">
        <v>23</v>
      </c>
      <c r="L390" s="2">
        <v>195</v>
      </c>
      <c r="M390" s="2" t="s">
        <v>235</v>
      </c>
      <c r="O390" s="2" t="s">
        <v>947</v>
      </c>
      <c r="P390" s="2" t="str">
        <f ca="1">IFERROR(__xludf.DUMMYFUNCTION("GOOGLETRANSLATE(O390,""en"",""bn"")"),"সুদীপ্ত সরকার")</f>
        <v>সুদীপ্ত সরকার</v>
      </c>
      <c r="Q390" s="2" t="s">
        <v>45</v>
      </c>
      <c r="S390" s="2" t="s">
        <v>45</v>
      </c>
      <c r="V390" s="2" t="s">
        <v>948</v>
      </c>
      <c r="W390" s="2">
        <v>2</v>
      </c>
    </row>
    <row r="391" spans="1:23" ht="15.75" customHeight="1" x14ac:dyDescent="0.35">
      <c r="A391" s="2" t="s">
        <v>23</v>
      </c>
      <c r="L391" s="2">
        <v>187</v>
      </c>
      <c r="M391" s="2" t="s">
        <v>405</v>
      </c>
      <c r="O391" s="2" t="s">
        <v>949</v>
      </c>
      <c r="P391" s="2" t="str">
        <f ca="1">IFERROR(__xludf.DUMMYFUNCTION("GOOGLETRANSLATE(O391,""en"",""bn"")"),"দিলীপ সিং")</f>
        <v>দিলীপ সিং</v>
      </c>
      <c r="Q391" s="2" t="s">
        <v>34</v>
      </c>
      <c r="S391" s="2" t="s">
        <v>34</v>
      </c>
      <c r="V391" s="2" t="s">
        <v>950</v>
      </c>
      <c r="W391" s="2">
        <v>2</v>
      </c>
    </row>
    <row r="392" spans="1:23" ht="15.75" customHeight="1" x14ac:dyDescent="0.35">
      <c r="A392" s="2" t="s">
        <v>23</v>
      </c>
      <c r="L392" s="2">
        <v>158</v>
      </c>
      <c r="M392" s="2" t="s">
        <v>57</v>
      </c>
      <c r="O392" s="2" t="s">
        <v>951</v>
      </c>
      <c r="P392" s="2" t="str">
        <f ca="1">IFERROR(__xludf.DUMMYFUNCTION("GOOGLETRANSLATE(O392,""en"",""bn"")"),"ফিরহাদ হাকিম")</f>
        <v>ফিরহাদ হাকিম</v>
      </c>
      <c r="Q392" s="2" t="s">
        <v>26</v>
      </c>
      <c r="S392" s="2" t="s">
        <v>26</v>
      </c>
      <c r="V392" s="2" t="s">
        <v>952</v>
      </c>
      <c r="W392" s="2">
        <v>2</v>
      </c>
    </row>
    <row r="393" spans="1:23" ht="15.75" customHeight="1" x14ac:dyDescent="0.35">
      <c r="A393" s="2" t="s">
        <v>23</v>
      </c>
      <c r="L393" s="2">
        <v>174</v>
      </c>
      <c r="M393" s="2" t="s">
        <v>256</v>
      </c>
      <c r="O393" s="2" t="s">
        <v>953</v>
      </c>
      <c r="P393" s="2" t="str">
        <f ca="1">IFERROR(__xludf.DUMMYFUNCTION("GOOGLETRANSLATE(O393,""en"",""bn"")"),"বেচুরাম মালিক")</f>
        <v>বেচুরাম মালিক</v>
      </c>
      <c r="Q393" s="2" t="s">
        <v>41</v>
      </c>
      <c r="S393" s="2" t="s">
        <v>41</v>
      </c>
      <c r="V393" s="2" t="s">
        <v>954</v>
      </c>
      <c r="W393" s="2">
        <v>2</v>
      </c>
    </row>
    <row r="394" spans="1:23" ht="15.75" customHeight="1" x14ac:dyDescent="0.35">
      <c r="A394" s="2" t="s">
        <v>23</v>
      </c>
      <c r="L394" s="2">
        <v>273</v>
      </c>
      <c r="M394" s="2" t="s">
        <v>318</v>
      </c>
      <c r="O394" s="2" t="s">
        <v>955</v>
      </c>
      <c r="P394" s="2" t="str">
        <f ca="1">IFERROR(__xludf.DUMMYFUNCTION("GOOGLETRANSLATE(O394,""en"",""bn"")"),"তাপস বারাল")</f>
        <v>তাপস বারাল</v>
      </c>
      <c r="Q394" s="2" t="s">
        <v>41</v>
      </c>
      <c r="S394" s="2" t="s">
        <v>41</v>
      </c>
      <c r="V394" s="2" t="s">
        <v>956</v>
      </c>
      <c r="W394" s="2">
        <v>2</v>
      </c>
    </row>
    <row r="395" spans="1:23" ht="15.75" customHeight="1" x14ac:dyDescent="0.35">
      <c r="A395" s="2" t="s">
        <v>23</v>
      </c>
      <c r="L395" s="2">
        <v>168</v>
      </c>
      <c r="M395" s="2" t="s">
        <v>100</v>
      </c>
      <c r="O395" s="2" t="s">
        <v>957</v>
      </c>
      <c r="P395" s="2" t="str">
        <f ca="1">IFERROR(__xludf.DUMMYFUNCTION("GOOGLETRANSLATE(O395,""en"",""bn"")"),"রাজেন্দ্র গুপ্ত")</f>
        <v>রাজেন্দ্র গুপ্ত</v>
      </c>
      <c r="Q395" s="2" t="s">
        <v>45</v>
      </c>
      <c r="S395" s="2" t="s">
        <v>45</v>
      </c>
      <c r="V395" s="2" t="s">
        <v>958</v>
      </c>
      <c r="W395" s="2">
        <v>2</v>
      </c>
    </row>
    <row r="396" spans="1:23" ht="15.75" customHeight="1" x14ac:dyDescent="0.35">
      <c r="A396" s="2" t="s">
        <v>23</v>
      </c>
      <c r="L396" s="2">
        <v>159</v>
      </c>
      <c r="M396" s="2" t="s">
        <v>157</v>
      </c>
      <c r="O396" s="2" t="s">
        <v>959</v>
      </c>
      <c r="P396" s="2" t="str">
        <f ca="1">IFERROR(__xludf.DUMMYFUNCTION("GOOGLETRANSLATE(O396,""en"",""bn"")"),"প্রদীপ প্রসাদ")</f>
        <v>প্রদীপ প্রসাদ</v>
      </c>
      <c r="Q396" s="2" t="s">
        <v>41</v>
      </c>
      <c r="S396" s="2" t="s">
        <v>41</v>
      </c>
      <c r="V396" s="2" t="s">
        <v>960</v>
      </c>
      <c r="W396" s="2">
        <v>2</v>
      </c>
    </row>
    <row r="397" spans="1:23" ht="15.75" customHeight="1" x14ac:dyDescent="0.35">
      <c r="A397" s="2" t="s">
        <v>23</v>
      </c>
      <c r="L397" s="2">
        <v>184</v>
      </c>
      <c r="M397" s="2" t="s">
        <v>60</v>
      </c>
      <c r="O397" s="2" t="s">
        <v>961</v>
      </c>
      <c r="P397" s="2" t="str">
        <f ca="1">IFERROR(__xludf.DUMMYFUNCTION("GOOGLETRANSLATE(O397,""en"",""bn"")"),"তাপস মাইতি")</f>
        <v>তাপস মাইতি</v>
      </c>
      <c r="Q397" s="2" t="s">
        <v>26</v>
      </c>
      <c r="S397" s="2" t="s">
        <v>26</v>
      </c>
      <c r="V397" s="2" t="s">
        <v>962</v>
      </c>
      <c r="W397" s="2">
        <v>2</v>
      </c>
    </row>
    <row r="398" spans="1:23" ht="15.75" customHeight="1" x14ac:dyDescent="0.35">
      <c r="A398" s="2" t="s">
        <v>23</v>
      </c>
      <c r="L398" s="2">
        <v>110</v>
      </c>
      <c r="M398" s="2" t="s">
        <v>259</v>
      </c>
      <c r="O398" s="2" t="s">
        <v>963</v>
      </c>
      <c r="P398" s="2" t="str">
        <f ca="1">IFERROR(__xludf.DUMMYFUNCTION("GOOGLETRANSLATE(O398,""en"",""bn"")"),"ধনঞ্জয় মৈত্র")</f>
        <v>ধনঞ্জয় মৈত্র</v>
      </c>
      <c r="Q398" s="2" t="s">
        <v>41</v>
      </c>
      <c r="S398" s="2" t="s">
        <v>41</v>
      </c>
      <c r="V398" s="2" t="s">
        <v>964</v>
      </c>
      <c r="W398" s="2">
        <v>2</v>
      </c>
    </row>
    <row r="399" spans="1:23" ht="15.75" customHeight="1" x14ac:dyDescent="0.35">
      <c r="A399" s="2" t="s">
        <v>23</v>
      </c>
      <c r="L399" s="2">
        <v>270</v>
      </c>
      <c r="M399" s="2" t="s">
        <v>315</v>
      </c>
      <c r="O399" s="2" t="s">
        <v>965</v>
      </c>
      <c r="P399" s="2" t="str">
        <f ca="1">IFERROR(__xludf.DUMMYFUNCTION("GOOGLETRANSLATE(O399,""en"",""bn"")"),"চ্যাটার্জি রণজিৎ")</f>
        <v>চ্যাটার্জি রণজিৎ</v>
      </c>
      <c r="Q399" s="2" t="s">
        <v>41</v>
      </c>
      <c r="S399" s="2" t="s">
        <v>41</v>
      </c>
      <c r="V399" s="2" t="s">
        <v>966</v>
      </c>
      <c r="W399" s="2">
        <v>2</v>
      </c>
    </row>
    <row r="400" spans="1:23" ht="15.75" customHeight="1" x14ac:dyDescent="0.35">
      <c r="A400" s="2" t="s">
        <v>23</v>
      </c>
      <c r="L400" s="2">
        <v>183</v>
      </c>
      <c r="M400" s="2" t="s">
        <v>295</v>
      </c>
      <c r="O400" s="2" t="s">
        <v>967</v>
      </c>
      <c r="P400" s="2" t="str">
        <f ca="1">IFERROR(__xludf.DUMMYFUNCTION("GOOGLETRANSLATE(O400,""en"",""bn"")"),"সুবীর চ্যাটার্জী (টিনকাই)")</f>
        <v>সুবীর চ্যাটার্জী (টিনকাই)</v>
      </c>
      <c r="Q400" s="2" t="s">
        <v>26</v>
      </c>
      <c r="S400" s="2" t="s">
        <v>26</v>
      </c>
      <c r="V400" s="2" t="s">
        <v>968</v>
      </c>
      <c r="W400" s="2">
        <v>2</v>
      </c>
    </row>
    <row r="401" spans="1:23" ht="15.75" customHeight="1" x14ac:dyDescent="0.35">
      <c r="A401" s="2" t="s">
        <v>23</v>
      </c>
      <c r="L401" s="2">
        <v>113</v>
      </c>
      <c r="M401" s="2" t="s">
        <v>399</v>
      </c>
      <c r="O401" s="2" t="s">
        <v>969</v>
      </c>
      <c r="P401" s="2" t="str">
        <f ca="1">IFERROR(__xludf.DUMMYFUNCTION("GOOGLETRANSLATE(O401,""en"",""bn"")"),"সায়নদীপ মিত্র")</f>
        <v>সায়নদীপ মিত্র</v>
      </c>
      <c r="Q401" s="2" t="s">
        <v>45</v>
      </c>
      <c r="S401" s="2" t="s">
        <v>45</v>
      </c>
      <c r="V401" s="2" t="s">
        <v>970</v>
      </c>
      <c r="W401" s="2">
        <v>2</v>
      </c>
    </row>
    <row r="402" spans="1:23" ht="15.75" customHeight="1" x14ac:dyDescent="0.35">
      <c r="A402" s="2" t="s">
        <v>23</v>
      </c>
      <c r="L402" s="2">
        <v>190</v>
      </c>
      <c r="M402" s="2" t="s">
        <v>300</v>
      </c>
      <c r="O402" s="2" t="s">
        <v>971</v>
      </c>
      <c r="P402" s="2" t="str">
        <f ca="1">IFERROR(__xludf.DUMMYFUNCTION("GOOGLETRANSLATE(O402,""en"",""bn"")"),"মাইনুল হক")</f>
        <v>মাইনুল হক</v>
      </c>
      <c r="Q402" s="2" t="s">
        <v>41</v>
      </c>
      <c r="S402" s="2" t="s">
        <v>41</v>
      </c>
      <c r="V402" s="2" t="s">
        <v>972</v>
      </c>
      <c r="W402" s="2">
        <v>2</v>
      </c>
    </row>
    <row r="403" spans="1:23" ht="15.75" customHeight="1" x14ac:dyDescent="0.35">
      <c r="A403" s="2" t="s">
        <v>23</v>
      </c>
      <c r="L403" s="2">
        <v>201</v>
      </c>
      <c r="M403" s="2" t="s">
        <v>339</v>
      </c>
      <c r="O403" s="2" t="s">
        <v>973</v>
      </c>
      <c r="P403" s="2" t="str">
        <f ca="1">IFERROR(__xludf.DUMMYFUNCTION("GOOGLETRANSLATE(O403,""en"",""bn"")"),"মুক্তারাম ধাওরে")</f>
        <v>মুক্তারাম ধাওরে</v>
      </c>
      <c r="Q403" s="2" t="s">
        <v>30</v>
      </c>
      <c r="S403" s="2" t="s">
        <v>30</v>
      </c>
      <c r="V403" s="2" t="s">
        <v>974</v>
      </c>
      <c r="W403" s="2">
        <v>2</v>
      </c>
    </row>
    <row r="404" spans="1:23" ht="15.75" customHeight="1" x14ac:dyDescent="0.35">
      <c r="A404" s="2" t="s">
        <v>23</v>
      </c>
      <c r="L404" s="2">
        <v>131</v>
      </c>
      <c r="M404" s="2" t="s">
        <v>130</v>
      </c>
      <c r="O404" s="2" t="s">
        <v>975</v>
      </c>
      <c r="P404" s="2" t="str">
        <f ca="1">IFERROR(__xludf.DUMMYFUNCTION("GOOGLETRANSLATE(O404,""en"",""bn"")"),"নাসির উদ্দিন আহমেদ")</f>
        <v>নাসির উদ্দিন আহমেদ</v>
      </c>
      <c r="Q404" s="2" t="s">
        <v>41</v>
      </c>
      <c r="S404" s="2" t="s">
        <v>41</v>
      </c>
      <c r="V404" s="2" t="s">
        <v>976</v>
      </c>
      <c r="W404" s="2">
        <v>2</v>
      </c>
    </row>
    <row r="405" spans="1:23" ht="15.75" customHeight="1" x14ac:dyDescent="0.35">
      <c r="A405" s="2" t="s">
        <v>23</v>
      </c>
      <c r="L405" s="2">
        <v>182</v>
      </c>
      <c r="M405" s="2" t="s">
        <v>97</v>
      </c>
      <c r="O405" s="2" t="s">
        <v>977</v>
      </c>
      <c r="P405" s="2" t="str">
        <f ca="1">IFERROR(__xludf.DUMMYFUNCTION("GOOGLETRANSLATE(O405,""en"",""bn"")"),"ষষ্ঠী মাজি")</f>
        <v>ষষ্ঠী মাজি</v>
      </c>
      <c r="Q405" s="2" t="s">
        <v>45</v>
      </c>
      <c r="S405" s="2" t="s">
        <v>45</v>
      </c>
      <c r="V405" s="2" t="s">
        <v>978</v>
      </c>
      <c r="W405" s="2">
        <v>2</v>
      </c>
    </row>
    <row r="406" spans="1:23" ht="15.75" customHeight="1" x14ac:dyDescent="0.35">
      <c r="A406" s="2" t="s">
        <v>23</v>
      </c>
      <c r="L406" s="2">
        <v>137</v>
      </c>
      <c r="M406" s="2" t="s">
        <v>372</v>
      </c>
      <c r="O406" s="2" t="s">
        <v>979</v>
      </c>
      <c r="P406" s="2" t="str">
        <f ca="1">IFERROR(__xludf.DUMMYFUNCTION("GOOGLETRANSLATE(O406,""en"",""bn"")"),"প্রোতাপ চন্দ্র মন্ডল")</f>
        <v>প্রোতাপ চন্দ্র মন্ডল</v>
      </c>
      <c r="Q406" s="2" t="s">
        <v>41</v>
      </c>
      <c r="S406" s="2" t="s">
        <v>41</v>
      </c>
      <c r="V406" s="2" t="s">
        <v>980</v>
      </c>
      <c r="W406" s="2">
        <v>2</v>
      </c>
    </row>
    <row r="407" spans="1:23" ht="15.75" customHeight="1" x14ac:dyDescent="0.35">
      <c r="A407" s="2" t="s">
        <v>23</v>
      </c>
      <c r="L407" s="2">
        <v>200</v>
      </c>
      <c r="M407" s="2" t="s">
        <v>151</v>
      </c>
      <c r="O407" s="2" t="s">
        <v>981</v>
      </c>
      <c r="P407" s="2" t="str">
        <f ca="1">IFERROR(__xludf.DUMMYFUNCTION("GOOGLETRANSLATE(O407,""en"",""bn"")"),"ব্যাগ হেমন্ত")</f>
        <v>ব্যাগ হেমন্ত</v>
      </c>
      <c r="Q407" s="2" t="s">
        <v>34</v>
      </c>
      <c r="S407" s="2" t="s">
        <v>34</v>
      </c>
      <c r="V407" s="2" t="s">
        <v>982</v>
      </c>
      <c r="W407" s="2">
        <v>2</v>
      </c>
    </row>
    <row r="408" spans="1:23" ht="15.75" customHeight="1" x14ac:dyDescent="0.35">
      <c r="A408" s="2" t="s">
        <v>23</v>
      </c>
      <c r="L408" s="2">
        <v>105</v>
      </c>
      <c r="M408" s="2" t="s">
        <v>342</v>
      </c>
      <c r="O408" s="2" t="s">
        <v>983</v>
      </c>
      <c r="P408" s="2" t="str">
        <f ca="1">IFERROR(__xludf.DUMMYFUNCTION("GOOGLETRANSLATE(O408,""en"",""bn"")"),"ধর্মেন্দ্র শ")</f>
        <v>ধর্মেন্দ্র শ</v>
      </c>
      <c r="Q408" s="2" t="s">
        <v>41</v>
      </c>
      <c r="S408" s="2" t="s">
        <v>41</v>
      </c>
      <c r="V408" s="2" t="s">
        <v>984</v>
      </c>
      <c r="W408" s="2">
        <v>2</v>
      </c>
    </row>
    <row r="409" spans="1:23" ht="15.75" customHeight="1" x14ac:dyDescent="0.35">
      <c r="A409" s="2" t="s">
        <v>23</v>
      </c>
      <c r="L409" s="2">
        <v>193</v>
      </c>
      <c r="M409" s="2" t="s">
        <v>118</v>
      </c>
      <c r="O409" s="2" t="s">
        <v>985</v>
      </c>
      <c r="P409" s="2" t="str">
        <f ca="1">IFERROR(__xludf.DUMMYFUNCTION("GOOGLETRANSLATE(O409,""en"",""bn"")"),"সৌগত ঘোষ")</f>
        <v>সৌগত ঘোষ</v>
      </c>
      <c r="Q409" s="2" t="s">
        <v>41</v>
      </c>
      <c r="S409" s="2" t="s">
        <v>41</v>
      </c>
      <c r="V409" s="2" t="s">
        <v>986</v>
      </c>
      <c r="W409" s="2">
        <v>2</v>
      </c>
    </row>
    <row r="410" spans="1:23" ht="15.75" customHeight="1" x14ac:dyDescent="0.35">
      <c r="A410" s="2" t="s">
        <v>23</v>
      </c>
      <c r="L410" s="2">
        <v>151</v>
      </c>
      <c r="M410" s="2" t="s">
        <v>81</v>
      </c>
      <c r="O410" s="2" t="s">
        <v>987</v>
      </c>
      <c r="P410" s="2" t="str">
        <f ca="1">IFERROR(__xludf.DUMMYFUNCTION("GOOGLETRANSLATE(O410,""en"",""bn"")"),"ফিরদৌসী বেগম")</f>
        <v>ফিরদৌসী বেগম</v>
      </c>
      <c r="Q410" s="2" t="s">
        <v>26</v>
      </c>
      <c r="S410" s="2" t="s">
        <v>26</v>
      </c>
      <c r="V410" s="2" t="s">
        <v>988</v>
      </c>
      <c r="W410" s="2">
        <v>2</v>
      </c>
    </row>
    <row r="411" spans="1:23" ht="15.75" customHeight="1" x14ac:dyDescent="0.35">
      <c r="A411" s="2" t="s">
        <v>23</v>
      </c>
      <c r="L411" s="2">
        <v>177</v>
      </c>
      <c r="M411" s="2" t="s">
        <v>66</v>
      </c>
      <c r="O411" s="2" t="s">
        <v>989</v>
      </c>
      <c r="P411" s="2" t="str">
        <f ca="1">IFERROR(__xludf.DUMMYFUNCTION("GOOGLETRANSLATE(O411,""en"",""bn"")"),"চিরান বেরা")</f>
        <v>চিরান বেরা</v>
      </c>
      <c r="Q411" s="2" t="s">
        <v>34</v>
      </c>
      <c r="S411" s="2" t="s">
        <v>34</v>
      </c>
      <c r="V411" s="2" t="s">
        <v>990</v>
      </c>
      <c r="W411" s="2">
        <v>2</v>
      </c>
    </row>
    <row r="412" spans="1:23" ht="15.75" customHeight="1" x14ac:dyDescent="0.35">
      <c r="A412" s="2" t="s">
        <v>23</v>
      </c>
      <c r="L412" s="2">
        <v>274</v>
      </c>
      <c r="M412" s="2" t="s">
        <v>366</v>
      </c>
      <c r="O412" s="2" t="s">
        <v>991</v>
      </c>
      <c r="P412" s="2" t="str">
        <f ca="1">IFERROR(__xludf.DUMMYFUNCTION("GOOGLETRANSLATE(O412,""en"",""bn"")"),"দেবাশিস বিশ্বাস")</f>
        <v>দেবাশিস বিশ্বাস</v>
      </c>
      <c r="Q412" s="2" t="s">
        <v>41</v>
      </c>
      <c r="S412" s="2" t="s">
        <v>41</v>
      </c>
      <c r="V412" s="2" t="s">
        <v>992</v>
      </c>
      <c r="W412" s="2">
        <v>2</v>
      </c>
    </row>
    <row r="413" spans="1:23" ht="15.75" customHeight="1" x14ac:dyDescent="0.35">
      <c r="A413" s="2" t="s">
        <v>23</v>
      </c>
      <c r="L413" s="2">
        <v>97</v>
      </c>
      <c r="M413" s="2" t="s">
        <v>423</v>
      </c>
      <c r="O413" s="2" t="s">
        <v>993</v>
      </c>
      <c r="P413" s="2" t="str">
        <f ca="1">IFERROR(__xludf.DUMMYFUNCTION("GOOGLETRANSLATE(O413,""en"",""bn"")"),"সব্যসাচী বিশ্বাস")</f>
        <v>সব্যসাচী বিশ্বাস</v>
      </c>
      <c r="Q413" s="2" t="s">
        <v>49</v>
      </c>
      <c r="S413" s="2" t="s">
        <v>49</v>
      </c>
      <c r="V413" s="2" t="s">
        <v>994</v>
      </c>
      <c r="W413" s="2">
        <v>2</v>
      </c>
    </row>
    <row r="414" spans="1:23" ht="15.75" customHeight="1" x14ac:dyDescent="0.35">
      <c r="A414" s="2" t="s">
        <v>23</v>
      </c>
      <c r="L414" s="2">
        <v>192</v>
      </c>
      <c r="M414" s="2" t="s">
        <v>172</v>
      </c>
      <c r="O414" s="2" t="s">
        <v>995</v>
      </c>
      <c r="P414" s="2" t="str">
        <f ca="1">IFERROR(__xludf.DUMMYFUNCTION("GOOGLETRANSLATE(O414,""en"",""bn"")"),"সনাতন মান্ডি")</f>
        <v>সনাতন মান্ডি</v>
      </c>
      <c r="Q414" s="2" t="s">
        <v>41</v>
      </c>
      <c r="S414" s="2" t="s">
        <v>41</v>
      </c>
      <c r="V414" s="2" t="s">
        <v>996</v>
      </c>
      <c r="W414" s="2">
        <v>2</v>
      </c>
    </row>
    <row r="415" spans="1:23" ht="15.75" customHeight="1" x14ac:dyDescent="0.35">
      <c r="A415" s="2" t="s">
        <v>23</v>
      </c>
      <c r="L415" s="2">
        <v>161</v>
      </c>
      <c r="M415" s="2" t="s">
        <v>112</v>
      </c>
      <c r="O415" s="2" t="s">
        <v>997</v>
      </c>
      <c r="P415" s="2" t="str">
        <f ca="1">IFERROR(__xludf.DUMMYFUNCTION("GOOGLETRANSLATE(O415,""en"",""bn"")"),"রোহান মিত্র")</f>
        <v>রোহান মিত্র</v>
      </c>
      <c r="Q415" s="2" t="s">
        <v>41</v>
      </c>
      <c r="S415" s="2" t="s">
        <v>41</v>
      </c>
      <c r="V415" s="2" t="s">
        <v>998</v>
      </c>
      <c r="W415" s="2">
        <v>2</v>
      </c>
    </row>
    <row r="416" spans="1:23" ht="15.75" customHeight="1" x14ac:dyDescent="0.35">
      <c r="A416" s="2" t="s">
        <v>23</v>
      </c>
      <c r="L416" s="2">
        <v>267</v>
      </c>
      <c r="M416" s="2" t="s">
        <v>54</v>
      </c>
      <c r="O416" s="2" t="s">
        <v>999</v>
      </c>
      <c r="P416" s="2" t="str">
        <f ca="1">IFERROR(__xludf.DUMMYFUNCTION("GOOGLETRANSLATE(O416,""en"",""bn"")"),"ধুরজাতি মাজি")</f>
        <v>ধুরজাতি মাজি</v>
      </c>
      <c r="Q416" s="2" t="s">
        <v>41</v>
      </c>
      <c r="S416" s="2" t="s">
        <v>41</v>
      </c>
      <c r="V416" s="2" t="s">
        <v>1000</v>
      </c>
      <c r="W416" s="2">
        <v>2</v>
      </c>
    </row>
    <row r="417" spans="1:23" ht="15.75" customHeight="1" x14ac:dyDescent="0.35">
      <c r="A417" s="2" t="s">
        <v>23</v>
      </c>
      <c r="L417" s="2">
        <v>163</v>
      </c>
      <c r="M417" s="2" t="s">
        <v>363</v>
      </c>
      <c r="O417" s="2" t="s">
        <v>1001</v>
      </c>
      <c r="P417" s="2" t="str">
        <f ca="1">IFERROR(__xludf.DUMMYFUNCTION("GOOGLETRANSLATE(O417,""en"",""bn"")"),"ডাঃ প্রিয়াঙ্কা টিবরেওয়াল")</f>
        <v>ডাঃ প্রিয়াঙ্কা টিবরেওয়াল</v>
      </c>
      <c r="Q417" s="2" t="s">
        <v>34</v>
      </c>
      <c r="S417" s="2" t="s">
        <v>34</v>
      </c>
      <c r="V417" s="2" t="s">
        <v>1002</v>
      </c>
      <c r="W417" s="2">
        <v>2</v>
      </c>
    </row>
    <row r="418" spans="1:23" ht="15.75" customHeight="1" x14ac:dyDescent="0.35">
      <c r="A418" s="2" t="s">
        <v>23</v>
      </c>
      <c r="L418" s="2">
        <v>149</v>
      </c>
      <c r="M418" s="2" t="s">
        <v>51</v>
      </c>
      <c r="O418" s="2" t="s">
        <v>1003</v>
      </c>
      <c r="P418" s="2" t="str">
        <f ca="1">IFERROR(__xludf.DUMMYFUNCTION("GOOGLETRANSLATE(O418,""en"",""bn"")"),"দিপু দাস")</f>
        <v>দিপু দাস</v>
      </c>
      <c r="Q418" s="2" t="s">
        <v>45</v>
      </c>
      <c r="S418" s="2" t="s">
        <v>45</v>
      </c>
      <c r="V418" s="2" t="s">
        <v>1004</v>
      </c>
      <c r="W418" s="2">
        <v>2</v>
      </c>
    </row>
    <row r="419" spans="1:23" ht="15.75" customHeight="1" x14ac:dyDescent="0.35">
      <c r="A419" s="2" t="s">
        <v>23</v>
      </c>
      <c r="L419" s="2">
        <v>82</v>
      </c>
      <c r="M419" s="2" t="s">
        <v>375</v>
      </c>
      <c r="O419" s="2" t="s">
        <v>1005</v>
      </c>
      <c r="P419" s="2" t="str">
        <f ca="1">IFERROR(__xludf.DUMMYFUNCTION("GOOGLETRANSLATE(O419,""en"",""bn"")"),"সুধাংশু সরকার")</f>
        <v>সুধাংশু সরকার</v>
      </c>
      <c r="Q419" s="2" t="s">
        <v>49</v>
      </c>
      <c r="S419" s="2" t="s">
        <v>49</v>
      </c>
      <c r="V419" s="2" t="s">
        <v>1006</v>
      </c>
      <c r="W419" s="2">
        <v>2</v>
      </c>
    </row>
    <row r="420" spans="1:23" ht="15.75" customHeight="1" x14ac:dyDescent="0.35">
      <c r="A420" s="2" t="s">
        <v>23</v>
      </c>
      <c r="L420" s="2">
        <v>179</v>
      </c>
      <c r="M420" s="2" t="s">
        <v>435</v>
      </c>
      <c r="O420" s="2" t="s">
        <v>1007</v>
      </c>
      <c r="P420" s="2" t="str">
        <f ca="1">IFERROR(__xludf.DUMMYFUNCTION("GOOGLETRANSLATE(O420,""en"",""bn"")"),"এসকে. মঞ্জুর আলম")</f>
        <v>এসকে. মঞ্জুর আলম</v>
      </c>
      <c r="Q420" s="2" t="s">
        <v>41</v>
      </c>
      <c r="S420" s="2" t="s">
        <v>41</v>
      </c>
      <c r="V420" s="2" t="s">
        <v>1008</v>
      </c>
      <c r="W420" s="2">
        <v>2</v>
      </c>
    </row>
    <row r="421" spans="1:23" ht="15.75" customHeight="1" x14ac:dyDescent="0.35">
      <c r="A421" s="2" t="s">
        <v>23</v>
      </c>
      <c r="L421" s="2">
        <v>94</v>
      </c>
      <c r="M421" s="2" t="s">
        <v>253</v>
      </c>
      <c r="O421" s="2" t="s">
        <v>1009</v>
      </c>
      <c r="P421" s="2" t="str">
        <f ca="1">IFERROR(__xludf.DUMMYFUNCTION("GOOGLETRANSLATE(O421,""en"",""bn"")"),"গৌর বিশ্বাস")</f>
        <v>গৌর বিশ্বাস</v>
      </c>
      <c r="Q421" s="2" t="s">
        <v>30</v>
      </c>
      <c r="S421" s="2" t="s">
        <v>30</v>
      </c>
      <c r="V421" s="2" t="s">
        <v>1010</v>
      </c>
      <c r="W421" s="2">
        <v>2</v>
      </c>
    </row>
    <row r="422" spans="1:23" ht="15.75" customHeight="1" x14ac:dyDescent="0.35">
      <c r="A422" s="2" t="s">
        <v>23</v>
      </c>
      <c r="L422" s="2">
        <v>189</v>
      </c>
      <c r="M422" s="2" t="s">
        <v>223</v>
      </c>
      <c r="O422" s="2" t="s">
        <v>1011</v>
      </c>
      <c r="P422" s="2" t="str">
        <f ca="1">IFERROR(__xludf.DUMMYFUNCTION("GOOGLETRANSLATE(O422,""en"",""bn"")"),"মনীশ পান্ডা")</f>
        <v>মনীশ পান্ডা</v>
      </c>
      <c r="Q422" s="2" t="s">
        <v>45</v>
      </c>
      <c r="S422" s="2" t="s">
        <v>45</v>
      </c>
      <c r="V422" s="2" t="s">
        <v>1012</v>
      </c>
      <c r="W422" s="2">
        <v>2</v>
      </c>
    </row>
    <row r="423" spans="1:23" ht="15.75" customHeight="1" x14ac:dyDescent="0.35">
      <c r="A423" s="2" t="s">
        <v>23</v>
      </c>
      <c r="L423" s="2">
        <v>148</v>
      </c>
      <c r="M423" s="2" t="s">
        <v>408</v>
      </c>
      <c r="O423" s="2" t="s">
        <v>1013</v>
      </c>
      <c r="P423" s="2" t="str">
        <f ca="1">IFERROR(__xludf.DUMMYFUNCTION("GOOGLETRANSLATE(O423,""en"",""bn"")"),"সুজাতা রঞ্জন")</f>
        <v>সুজাতা রঞ্জন</v>
      </c>
      <c r="Q423" s="2" t="s">
        <v>49</v>
      </c>
      <c r="S423" s="2" t="s">
        <v>49</v>
      </c>
      <c r="V423" s="2" t="s">
        <v>1014</v>
      </c>
      <c r="W423" s="2">
        <v>2</v>
      </c>
    </row>
    <row r="424" spans="1:23" ht="15.75" customHeight="1" x14ac:dyDescent="0.35">
      <c r="A424" s="2" t="s">
        <v>23</v>
      </c>
      <c r="L424" s="2">
        <v>112</v>
      </c>
      <c r="M424" s="2" t="s">
        <v>196</v>
      </c>
      <c r="O424" s="2" t="s">
        <v>1015</v>
      </c>
      <c r="P424" s="2" t="str">
        <f ca="1">IFERROR(__xludf.DUMMYFUNCTION("GOOGLETRANSLATE(O424,""en"",""bn"")"),"মদন মিত্র")</f>
        <v>মদন মিত্র</v>
      </c>
      <c r="Q424" s="2" t="s">
        <v>26</v>
      </c>
      <c r="S424" s="2" t="s">
        <v>26</v>
      </c>
      <c r="V424" s="2" t="s">
        <v>1016</v>
      </c>
      <c r="W424" s="2">
        <v>2</v>
      </c>
    </row>
    <row r="425" spans="1:23" ht="15.75" customHeight="1" x14ac:dyDescent="0.35">
      <c r="A425" s="2" t="s">
        <v>23</v>
      </c>
      <c r="L425" s="2">
        <v>138</v>
      </c>
      <c r="M425" s="2" t="s">
        <v>145</v>
      </c>
      <c r="O425" s="2" t="s">
        <v>1017</v>
      </c>
      <c r="P425" s="2" t="str">
        <f ca="1">IFERROR(__xludf.DUMMYFUNCTION("GOOGLETRANSLATE(O425,""en"",""bn"")"),"হরণ চন্দ্র মিস্ট্রি")</f>
        <v>হরণ চন্দ্র মিস্ট্রি</v>
      </c>
      <c r="Q425" s="2" t="s">
        <v>41</v>
      </c>
      <c r="S425" s="2" t="s">
        <v>41</v>
      </c>
      <c r="V425" s="2" t="s">
        <v>1018</v>
      </c>
      <c r="W425" s="2">
        <v>2</v>
      </c>
    </row>
    <row r="426" spans="1:23" ht="15.75" customHeight="1" x14ac:dyDescent="0.35">
      <c r="A426" s="2" t="s">
        <v>23</v>
      </c>
      <c r="L426" s="2">
        <v>101</v>
      </c>
      <c r="M426" s="2" t="s">
        <v>154</v>
      </c>
      <c r="O426" s="2" t="s">
        <v>1019</v>
      </c>
      <c r="P426" s="2" t="str">
        <f ca="1">IFERROR(__xludf.DUMMYFUNCTION("GOOGLETRANSLATE(O426,""en"",""bn"")"),"নারায়ণ গোস্বামী")</f>
        <v>নারায়ণ গোস্বামী</v>
      </c>
      <c r="Q426" s="2" t="s">
        <v>26</v>
      </c>
      <c r="S426" s="2" t="s">
        <v>26</v>
      </c>
      <c r="V426" s="2" t="s">
        <v>1020</v>
      </c>
      <c r="W426" s="2">
        <v>2</v>
      </c>
    </row>
    <row r="427" spans="1:23" ht="15.75" customHeight="1" x14ac:dyDescent="0.35">
      <c r="A427" s="2" t="s">
        <v>23</v>
      </c>
      <c r="L427" s="2">
        <v>155</v>
      </c>
      <c r="M427" s="2" t="s">
        <v>262</v>
      </c>
      <c r="O427" s="2" t="s">
        <v>1021</v>
      </c>
      <c r="P427" s="2" t="str">
        <f ca="1">IFERROR(__xludf.DUMMYFUNCTION("GOOGLETRANSLATE(O427,""en"",""bn"")"),"সুভাসিস দাস")</f>
        <v>সুভাসিস দাস</v>
      </c>
      <c r="Q427" s="2" t="s">
        <v>26</v>
      </c>
      <c r="S427" s="2" t="s">
        <v>26</v>
      </c>
      <c r="V427" s="2" t="s">
        <v>1022</v>
      </c>
      <c r="W427" s="2">
        <v>2</v>
      </c>
    </row>
    <row r="428" spans="1:23" ht="15.75" customHeight="1" x14ac:dyDescent="0.35">
      <c r="A428" s="2" t="s">
        <v>23</v>
      </c>
      <c r="L428" s="2">
        <v>266</v>
      </c>
      <c r="M428" s="2" t="s">
        <v>214</v>
      </c>
      <c r="O428" s="2" t="s">
        <v>1023</v>
      </c>
      <c r="P428" s="2" t="str">
        <f ca="1">IFERROR(__xludf.DUMMYFUNCTION("GOOGLETRANSLATE(O428,""en"",""bn"")"),"সঞ্জয় দাস")</f>
        <v>সঞ্জয় দাস</v>
      </c>
      <c r="Q428" s="2" t="s">
        <v>34</v>
      </c>
      <c r="S428" s="2" t="s">
        <v>34</v>
      </c>
      <c r="V428" s="2" t="s">
        <v>1024</v>
      </c>
      <c r="W428" s="2">
        <v>2</v>
      </c>
    </row>
    <row r="429" spans="1:23" ht="15.75" customHeight="1" x14ac:dyDescent="0.35">
      <c r="A429" s="2" t="s">
        <v>23</v>
      </c>
      <c r="L429" s="2">
        <v>190</v>
      </c>
      <c r="M429" s="2" t="s">
        <v>300</v>
      </c>
      <c r="O429" s="2" t="s">
        <v>1025</v>
      </c>
      <c r="P429" s="2" t="str">
        <f ca="1">IFERROR(__xludf.DUMMYFUNCTION("GOOGLETRANSLATE(O429,""en"",""bn"")"),"সুনীল কুমার সাহা")</f>
        <v>সুনীল কুমার সাহা</v>
      </c>
      <c r="Q429" s="2" t="s">
        <v>30</v>
      </c>
      <c r="S429" s="2" t="s">
        <v>30</v>
      </c>
      <c r="V429" s="2" t="s">
        <v>1026</v>
      </c>
      <c r="W429" s="2">
        <v>2</v>
      </c>
    </row>
    <row r="430" spans="1:23" ht="15.75" customHeight="1" x14ac:dyDescent="0.35">
      <c r="A430" s="2" t="s">
        <v>23</v>
      </c>
      <c r="L430" s="2">
        <v>153</v>
      </c>
      <c r="M430" s="2" t="s">
        <v>345</v>
      </c>
      <c r="O430" s="2" t="s">
        <v>1027</v>
      </c>
      <c r="P430" s="2" t="str">
        <f ca="1">IFERROR(__xludf.DUMMYFUNCTION("GOOGLETRANSLATE(O430,""en"",""bn"")"),"শঙ্কর সিকদার")</f>
        <v>শঙ্কর সিকদার</v>
      </c>
      <c r="Q430" s="2" t="s">
        <v>34</v>
      </c>
      <c r="S430" s="2" t="s">
        <v>34</v>
      </c>
      <c r="V430" s="2" t="s">
        <v>1028</v>
      </c>
      <c r="W430" s="2">
        <v>2</v>
      </c>
    </row>
    <row r="431" spans="1:23" ht="15.75" customHeight="1" x14ac:dyDescent="0.35">
      <c r="A431" s="2" t="s">
        <v>23</v>
      </c>
      <c r="L431" s="2">
        <v>129</v>
      </c>
      <c r="M431" s="2" t="s">
        <v>24</v>
      </c>
      <c r="O431" s="2" t="s">
        <v>1029</v>
      </c>
      <c r="P431" s="2" t="str">
        <f ca="1">IFERROR(__xludf.DUMMYFUNCTION("GOOGLETRANSLATE(O431,""en"",""bn"")"),"রূপা হালদার")</f>
        <v>রূপা হালদার</v>
      </c>
      <c r="Q431" s="2" t="s">
        <v>41</v>
      </c>
      <c r="S431" s="2" t="s">
        <v>41</v>
      </c>
      <c r="V431" s="2" t="s">
        <v>1030</v>
      </c>
      <c r="W431" s="2">
        <v>2</v>
      </c>
    </row>
    <row r="432" spans="1:23" ht="15.75" customHeight="1" x14ac:dyDescent="0.35">
      <c r="A432" s="2" t="s">
        <v>23</v>
      </c>
      <c r="L432" s="2">
        <v>131</v>
      </c>
      <c r="M432" s="2" t="s">
        <v>130</v>
      </c>
      <c r="O432" s="2" t="s">
        <v>1031</v>
      </c>
      <c r="P432" s="2" t="str">
        <f ca="1">IFERROR(__xludf.DUMMYFUNCTION("GOOGLETRANSLATE(O432,""en"",""bn"")"),"পার্বতী ভুনিয়া")</f>
        <v>পার্বতী ভুনিয়া</v>
      </c>
      <c r="Q432" s="2" t="s">
        <v>49</v>
      </c>
      <c r="S432" s="2" t="s">
        <v>49</v>
      </c>
      <c r="V432" s="2" t="s">
        <v>1032</v>
      </c>
      <c r="W432" s="2">
        <v>2</v>
      </c>
    </row>
    <row r="433" spans="1:23" ht="15.75" customHeight="1" x14ac:dyDescent="0.35">
      <c r="A433" s="2" t="s">
        <v>23</v>
      </c>
      <c r="L433" s="2">
        <v>123</v>
      </c>
      <c r="M433" s="2" t="s">
        <v>208</v>
      </c>
      <c r="O433" s="2" t="s">
        <v>1033</v>
      </c>
      <c r="P433" s="2" t="str">
        <f ca="1">IFERROR(__xludf.DUMMYFUNCTION("GOOGLETRANSLATE(O433,""en"",""bn"")"),"সানাত সর্দার")</f>
        <v>সানাত সর্দার</v>
      </c>
      <c r="Q433" s="2" t="s">
        <v>34</v>
      </c>
      <c r="S433" s="2" t="s">
        <v>34</v>
      </c>
      <c r="V433" s="2" t="s">
        <v>1034</v>
      </c>
      <c r="W433" s="2">
        <v>2</v>
      </c>
    </row>
    <row r="434" spans="1:23" ht="15.75" customHeight="1" x14ac:dyDescent="0.35">
      <c r="A434" s="2" t="s">
        <v>23</v>
      </c>
      <c r="L434" s="2">
        <v>175</v>
      </c>
      <c r="M434" s="2" t="s">
        <v>330</v>
      </c>
      <c r="O434" s="2" t="s">
        <v>1035</v>
      </c>
      <c r="P434" s="2" t="str">
        <f ca="1">IFERROR(__xludf.DUMMYFUNCTION("GOOGLETRANSLATE(O434,""en"",""bn"")"),"রাহুল পান্ডে")</f>
        <v>রাহুল পান্ডে</v>
      </c>
      <c r="Q434" s="2" t="s">
        <v>41</v>
      </c>
      <c r="S434" s="2" t="s">
        <v>41</v>
      </c>
      <c r="V434" s="2" t="s">
        <v>1036</v>
      </c>
      <c r="W434" s="2">
        <v>2</v>
      </c>
    </row>
    <row r="435" spans="1:23" ht="15.75" customHeight="1" x14ac:dyDescent="0.35">
      <c r="A435" s="2" t="s">
        <v>23</v>
      </c>
      <c r="L435" s="2">
        <v>197</v>
      </c>
      <c r="M435" s="2" t="s">
        <v>360</v>
      </c>
      <c r="O435" s="2" t="s">
        <v>1037</v>
      </c>
      <c r="P435" s="2" t="str">
        <f ca="1">IFERROR(__xludf.DUMMYFUNCTION("GOOGLETRANSLATE(O435,""en"",""bn"")"),"রুমা আহিরি")</f>
        <v>রুমা আহিরি</v>
      </c>
      <c r="Q435" s="2" t="s">
        <v>1038</v>
      </c>
      <c r="S435" s="2" t="s">
        <v>1038</v>
      </c>
      <c r="V435" s="2" t="s">
        <v>1039</v>
      </c>
      <c r="W435" s="2">
        <v>2</v>
      </c>
    </row>
    <row r="436" spans="1:23" ht="15.75" customHeight="1" x14ac:dyDescent="0.35">
      <c r="A436" s="2" t="s">
        <v>23</v>
      </c>
      <c r="L436" s="2">
        <v>201</v>
      </c>
      <c r="M436" s="2" t="s">
        <v>339</v>
      </c>
      <c r="O436" s="2" t="s">
        <v>1040</v>
      </c>
      <c r="P436" s="2" t="str">
        <f ca="1">IFERROR(__xludf.DUMMYFUNCTION("GOOGLETRANSLATE(O436,""en"",""bn"")"),"সমীর রায়")</f>
        <v>সমীর রায়</v>
      </c>
      <c r="Q436" s="2" t="s">
        <v>49</v>
      </c>
      <c r="S436" s="2" t="s">
        <v>49</v>
      </c>
      <c r="V436" s="2" t="s">
        <v>1041</v>
      </c>
      <c r="W436" s="2">
        <v>2</v>
      </c>
    </row>
    <row r="437" spans="1:23" ht="15.75" customHeight="1" x14ac:dyDescent="0.35">
      <c r="A437" s="2" t="s">
        <v>23</v>
      </c>
      <c r="L437" s="2">
        <v>81</v>
      </c>
      <c r="M437" s="2" t="s">
        <v>217</v>
      </c>
      <c r="O437" s="2" t="s">
        <v>1042</v>
      </c>
      <c r="P437" s="2" t="str">
        <f ca="1">IFERROR(__xludf.DUMMYFUNCTION("GOOGLETRANSLATE(O437,""en"",""bn"")"),"শান্তনু দে")</f>
        <v>শান্তনু দে</v>
      </c>
      <c r="Q437" s="2" t="s">
        <v>34</v>
      </c>
      <c r="S437" s="2" t="s">
        <v>34</v>
      </c>
      <c r="V437" s="2" t="s">
        <v>1043</v>
      </c>
      <c r="W437" s="2">
        <v>2</v>
      </c>
    </row>
    <row r="438" spans="1:23" ht="15.75" customHeight="1" x14ac:dyDescent="0.35">
      <c r="A438" s="2" t="s">
        <v>23</v>
      </c>
      <c r="L438" s="2">
        <v>108</v>
      </c>
      <c r="M438" s="2" t="s">
        <v>441</v>
      </c>
      <c r="O438" s="2" t="s">
        <v>1044</v>
      </c>
      <c r="P438" s="2" t="str">
        <f ca="1">IFERROR(__xludf.DUMMYFUNCTION("GOOGLETRANSLATE(O438,""en"",""bn"")"),"সুমন রঞ্জন বন্দ্যোপাধ্যায়")</f>
        <v>সুমন রঞ্জন বন্দ্যোপাধ্যায়</v>
      </c>
      <c r="Q438" s="2" t="s">
        <v>45</v>
      </c>
      <c r="S438" s="2" t="s">
        <v>45</v>
      </c>
      <c r="V438" s="2" t="s">
        <v>1045</v>
      </c>
      <c r="W438" s="2">
        <v>2</v>
      </c>
    </row>
    <row r="439" spans="1:23" ht="15.75" customHeight="1" x14ac:dyDescent="0.35">
      <c r="A439" s="2" t="s">
        <v>23</v>
      </c>
      <c r="L439" s="2">
        <v>139</v>
      </c>
      <c r="M439" s="2" t="s">
        <v>238</v>
      </c>
      <c r="O439" s="2" t="s">
        <v>1046</v>
      </c>
      <c r="P439" s="2" t="str">
        <f ca="1">IFERROR(__xludf.DUMMYFUNCTION("GOOGLETRANSLATE(O439,""en"",""bn"")"),"আরাবুল ইসলাম")</f>
        <v>আরাবুল ইসলাম</v>
      </c>
      <c r="Q439" s="2" t="s">
        <v>1047</v>
      </c>
      <c r="S439" s="2" t="s">
        <v>1047</v>
      </c>
      <c r="V439" s="2" t="s">
        <v>1048</v>
      </c>
      <c r="W439" s="2">
        <v>2</v>
      </c>
    </row>
    <row r="440" spans="1:23" ht="15.75" customHeight="1" x14ac:dyDescent="0.35">
      <c r="A440" s="2" t="s">
        <v>23</v>
      </c>
      <c r="L440" s="2">
        <v>78</v>
      </c>
      <c r="M440" s="2" t="s">
        <v>47</v>
      </c>
      <c r="O440" s="2" t="s">
        <v>1049</v>
      </c>
      <c r="P440" s="2" t="str">
        <f ca="1">IFERROR(__xludf.DUMMYFUNCTION("GOOGLETRANSLATE(O440,""en"",""bn"")"),"সুবোধ চন্দ্র বিশ্বাস")</f>
        <v>সুবোধ চন্দ্র বিশ্বাস</v>
      </c>
      <c r="Q440" s="2" t="s">
        <v>45</v>
      </c>
      <c r="S440" s="2" t="s">
        <v>45</v>
      </c>
      <c r="V440" s="2" t="s">
        <v>1050</v>
      </c>
      <c r="W440" s="2">
        <v>2</v>
      </c>
    </row>
    <row r="441" spans="1:23" ht="15.75" customHeight="1" x14ac:dyDescent="0.35">
      <c r="A441" s="2" t="s">
        <v>23</v>
      </c>
      <c r="L441" s="2">
        <v>178</v>
      </c>
      <c r="M441" s="2" t="s">
        <v>226</v>
      </c>
      <c r="O441" s="2" t="s">
        <v>1051</v>
      </c>
      <c r="P441" s="2" t="str">
        <f ca="1">IFERROR(__xludf.DUMMYFUNCTION("GOOGLETRANSLATE(O441,""en"",""bn"")"),"স্বামী মঙ্গলানন্দ পুরী")</f>
        <v>স্বামী মঙ্গলানন্দ পুরী</v>
      </c>
      <c r="Q441" s="2" t="s">
        <v>34</v>
      </c>
      <c r="S441" s="2" t="s">
        <v>34</v>
      </c>
      <c r="V441" s="2" t="s">
        <v>1052</v>
      </c>
      <c r="W441" s="2">
        <v>2</v>
      </c>
    </row>
    <row r="442" spans="1:23" ht="15.75" customHeight="1" x14ac:dyDescent="0.35">
      <c r="A442" s="2" t="s">
        <v>23</v>
      </c>
      <c r="L442" s="2">
        <v>172</v>
      </c>
      <c r="M442" s="2" t="s">
        <v>28</v>
      </c>
      <c r="O442" s="2" t="s">
        <v>1053</v>
      </c>
      <c r="P442" s="2" t="str">
        <f ca="1">IFERROR(__xludf.DUMMYFUNCTION("GOOGLETRANSLATE(O442,""en"",""bn"")"),"রুদ্রনীল ঘোষ")</f>
        <v>রুদ্রনীল ঘোষ</v>
      </c>
      <c r="Q442" s="2" t="s">
        <v>34</v>
      </c>
      <c r="S442" s="2" t="s">
        <v>34</v>
      </c>
      <c r="V442" s="2" t="s">
        <v>1054</v>
      </c>
      <c r="W442" s="2">
        <v>2</v>
      </c>
    </row>
    <row r="443" spans="1:23" ht="15.75" customHeight="1" x14ac:dyDescent="0.35">
      <c r="A443" s="2" t="s">
        <v>23</v>
      </c>
      <c r="L443" s="2">
        <v>167</v>
      </c>
      <c r="M443" s="2" t="s">
        <v>109</v>
      </c>
      <c r="O443" s="2" t="s">
        <v>1055</v>
      </c>
      <c r="P443" s="2" t="str">
        <f ca="1">IFERROR(__xludf.DUMMYFUNCTION("GOOGLETRANSLATE(O443,""en"",""bn"")"),"তাপস রায়")</f>
        <v>তাপস রায়</v>
      </c>
      <c r="Q443" s="2" t="s">
        <v>34</v>
      </c>
      <c r="S443" s="2" t="s">
        <v>34</v>
      </c>
      <c r="V443" s="2" t="s">
        <v>1056</v>
      </c>
      <c r="W443" s="2">
        <v>2</v>
      </c>
    </row>
    <row r="444" spans="1:23" ht="15.75" customHeight="1" x14ac:dyDescent="0.35">
      <c r="A444" s="2" t="s">
        <v>23</v>
      </c>
      <c r="L444" s="2">
        <v>145</v>
      </c>
      <c r="M444" s="2" t="s">
        <v>166</v>
      </c>
      <c r="O444" s="2" t="s">
        <v>1057</v>
      </c>
      <c r="P444" s="2" t="str">
        <f ca="1">IFERROR(__xludf.DUMMYFUNCTION("GOOGLETRANSLATE(O444,""en"",""bn"")"),"সোমাশ্রী বেতাল")</f>
        <v>সোমাশ্রী বেতাল</v>
      </c>
      <c r="Q444" s="2" t="s">
        <v>26</v>
      </c>
      <c r="S444" s="2" t="s">
        <v>26</v>
      </c>
      <c r="V444" s="2" t="s">
        <v>1058</v>
      </c>
      <c r="W444" s="2">
        <v>2</v>
      </c>
    </row>
    <row r="445" spans="1:23" ht="15.75" customHeight="1" x14ac:dyDescent="0.35">
      <c r="A445" s="2" t="s">
        <v>23</v>
      </c>
      <c r="L445" s="2">
        <v>259</v>
      </c>
      <c r="M445" s="2" t="s">
        <v>453</v>
      </c>
      <c r="O445" s="2" t="s">
        <v>1059</v>
      </c>
      <c r="P445" s="2" t="str">
        <f ca="1">IFERROR(__xludf.DUMMYFUNCTION("GOOGLETRANSLATE(O445,""en"",""bn"")"),"নবীন চন্দ্র ব্যাগ")</f>
        <v>নবীন চন্দ্র ব্যাগ</v>
      </c>
      <c r="Q445" s="2" t="s">
        <v>26</v>
      </c>
      <c r="S445" s="2" t="s">
        <v>26</v>
      </c>
      <c r="V445" s="2" t="s">
        <v>1060</v>
      </c>
      <c r="W445" s="2">
        <v>2</v>
      </c>
    </row>
    <row r="446" spans="1:23" ht="15.75" customHeight="1" x14ac:dyDescent="0.35">
      <c r="A446" s="2" t="s">
        <v>23</v>
      </c>
      <c r="L446" s="2">
        <v>267</v>
      </c>
      <c r="M446" s="2" t="s">
        <v>54</v>
      </c>
      <c r="O446" s="2" t="s">
        <v>1061</v>
      </c>
      <c r="P446" s="2" t="str">
        <f ca="1">IFERROR(__xludf.DUMMYFUNCTION("GOOGLETRANSLATE(O446,""en"",""bn"")"),"লক্ষ্মী নারায়ণ হেমরাম")</f>
        <v>লক্ষ্মী নারায়ণ হেমরাম</v>
      </c>
      <c r="Q446" s="2" t="s">
        <v>49</v>
      </c>
      <c r="S446" s="2" t="s">
        <v>49</v>
      </c>
      <c r="V446" s="2" t="s">
        <v>1062</v>
      </c>
      <c r="W446" s="2">
        <v>2</v>
      </c>
    </row>
    <row r="447" spans="1:23" ht="15.75" customHeight="1" x14ac:dyDescent="0.35">
      <c r="A447" s="2" t="s">
        <v>23</v>
      </c>
      <c r="L447" s="2">
        <v>109</v>
      </c>
      <c r="M447" s="2" t="s">
        <v>336</v>
      </c>
      <c r="O447" s="2" t="s">
        <v>1063</v>
      </c>
      <c r="P447" s="2" t="str">
        <f ca="1">IFERROR(__xludf.DUMMYFUNCTION("GOOGLETRANSLATE(O447,""en"",""bn"")"),"দেবজ্যোতি দাস (শুভো)")</f>
        <v>দেবজ্যোতি দাস (শুভো)</v>
      </c>
      <c r="Q447" s="2" t="s">
        <v>45</v>
      </c>
      <c r="S447" s="2" t="s">
        <v>45</v>
      </c>
      <c r="V447" s="2" t="s">
        <v>1064</v>
      </c>
      <c r="W447" s="2">
        <v>2</v>
      </c>
    </row>
    <row r="448" spans="1:23" ht="15.75" customHeight="1" x14ac:dyDescent="0.35">
      <c r="A448" s="2" t="s">
        <v>23</v>
      </c>
      <c r="L448" s="2">
        <v>136</v>
      </c>
      <c r="M448" s="2" t="s">
        <v>43</v>
      </c>
      <c r="O448" s="2" t="s">
        <v>1065</v>
      </c>
      <c r="P448" s="2" t="str">
        <f ca="1">IFERROR(__xludf.DUMMYFUNCTION("GOOGLETRANSLATE(O448,""en"",""bn"")"),"বিশ্বনাথ দাস")</f>
        <v>বিশ্বনাথ দাস</v>
      </c>
      <c r="Q448" s="2" t="s">
        <v>26</v>
      </c>
      <c r="S448" s="2" t="s">
        <v>26</v>
      </c>
      <c r="V448" s="2" t="s">
        <v>1066</v>
      </c>
      <c r="W448" s="2">
        <v>2</v>
      </c>
    </row>
    <row r="449" spans="1:23" ht="15.75" customHeight="1" x14ac:dyDescent="0.35">
      <c r="A449" s="2" t="s">
        <v>23</v>
      </c>
      <c r="L449" s="2">
        <v>195</v>
      </c>
      <c r="M449" s="2" t="s">
        <v>235</v>
      </c>
      <c r="O449" s="2" t="s">
        <v>1067</v>
      </c>
      <c r="P449" s="2" t="str">
        <f ca="1">IFERROR(__xludf.DUMMYFUNCTION("GOOGLETRANSLATE(O449,""en"",""bn"")"),"স্নেহসিস চক্রবর্তী")</f>
        <v>স্নেহসিস চক্রবর্তী</v>
      </c>
      <c r="Q449" s="2" t="s">
        <v>26</v>
      </c>
      <c r="S449" s="2" t="s">
        <v>26</v>
      </c>
      <c r="V449" s="2" t="s">
        <v>1068</v>
      </c>
      <c r="W449" s="2">
        <v>2</v>
      </c>
    </row>
    <row r="450" spans="1:23" ht="15.75" customHeight="1" x14ac:dyDescent="0.35">
      <c r="A450" s="2" t="s">
        <v>23</v>
      </c>
      <c r="L450" s="2">
        <v>149</v>
      </c>
      <c r="M450" s="2" t="s">
        <v>51</v>
      </c>
      <c r="O450" s="2" t="s">
        <v>1069</v>
      </c>
      <c r="P450" s="2" t="str">
        <f ca="1">IFERROR(__xludf.DUMMYFUNCTION("GOOGLETRANSLATE(O450,""en"",""bn"")"),"এমডি. হাসিম জেশান আহমেদ")</f>
        <v>এমডি. হাসিম জেশান আহমেদ</v>
      </c>
      <c r="Q450" s="2" t="s">
        <v>41</v>
      </c>
      <c r="S450" s="2" t="s">
        <v>41</v>
      </c>
      <c r="V450" s="2" t="s">
        <v>1070</v>
      </c>
      <c r="W450" s="2">
        <v>2</v>
      </c>
    </row>
    <row r="451" spans="1:23" ht="15.75" customHeight="1" x14ac:dyDescent="0.35">
      <c r="A451" s="2" t="s">
        <v>23</v>
      </c>
      <c r="L451" s="2">
        <v>179</v>
      </c>
      <c r="M451" s="2" t="s">
        <v>435</v>
      </c>
      <c r="O451" s="2" t="s">
        <v>1071</v>
      </c>
      <c r="P451" s="2" t="str">
        <f ca="1">IFERROR(__xludf.DUMMYFUNCTION("GOOGLETRANSLATE(O451,""en"",""bn"")"),"ড. হিরন্ময় চট্টোপাধ্যায় (হিরণ)")</f>
        <v>ড. হিরন্ময় চট্টোপাধ্যায় (হিরণ)</v>
      </c>
      <c r="Q451" s="2" t="s">
        <v>34</v>
      </c>
      <c r="S451" s="2" t="s">
        <v>34</v>
      </c>
      <c r="V451" s="2" t="s">
        <v>1072</v>
      </c>
      <c r="W451" s="2">
        <v>2</v>
      </c>
    </row>
    <row r="452" spans="1:23" ht="15.75" customHeight="1" x14ac:dyDescent="0.35">
      <c r="A452" s="2" t="s">
        <v>23</v>
      </c>
      <c r="L452" s="2">
        <v>192</v>
      </c>
      <c r="M452" s="2" t="s">
        <v>172</v>
      </c>
      <c r="O452" s="2" t="s">
        <v>1073</v>
      </c>
      <c r="P452" s="2" t="str">
        <f ca="1">IFERROR(__xludf.DUMMYFUNCTION("GOOGLETRANSLATE(O452,""en"",""bn"")"),"সমীর চক্রবর্তী")</f>
        <v>সমীর চক্রবর্তী</v>
      </c>
      <c r="Q452" s="2" t="s">
        <v>26</v>
      </c>
      <c r="S452" s="2" t="s">
        <v>26</v>
      </c>
      <c r="V452" s="2" t="s">
        <v>1074</v>
      </c>
      <c r="W452" s="2">
        <v>2</v>
      </c>
    </row>
    <row r="453" spans="1:23" ht="15.75" customHeight="1" x14ac:dyDescent="0.35">
      <c r="A453" s="2" t="s">
        <v>23</v>
      </c>
      <c r="L453" s="2">
        <v>111</v>
      </c>
      <c r="M453" s="2" t="s">
        <v>369</v>
      </c>
      <c r="O453" s="2" t="s">
        <v>1075</v>
      </c>
      <c r="P453" s="2" t="str">
        <f ca="1">IFERROR(__xludf.DUMMYFUNCTION("GOOGLETRANSLATE(O453,""en"",""bn"")"),"শুভাশীষ ভট্টাচার্য (টাটা)")</f>
        <v>শুভাশীষ ভট্টাচার্য (টাটা)</v>
      </c>
      <c r="Q453" s="2" t="s">
        <v>41</v>
      </c>
      <c r="S453" s="2" t="s">
        <v>41</v>
      </c>
      <c r="V453" s="2" t="s">
        <v>1076</v>
      </c>
      <c r="W453" s="2">
        <v>2</v>
      </c>
    </row>
    <row r="454" spans="1:23" ht="15.75" customHeight="1" x14ac:dyDescent="0.35">
      <c r="A454" s="2" t="s">
        <v>23</v>
      </c>
      <c r="L454" s="2">
        <v>158</v>
      </c>
      <c r="M454" s="2" t="s">
        <v>57</v>
      </c>
      <c r="O454" s="2" t="s">
        <v>1077</v>
      </c>
      <c r="P454" s="2" t="str">
        <f ca="1">IFERROR(__xludf.DUMMYFUNCTION("GOOGLETRANSLATE(O454,""en"",""bn"")"),"ফিরোজা খাতুন")</f>
        <v>ফিরোজা খাতুন</v>
      </c>
      <c r="Q454" s="2" t="s">
        <v>49</v>
      </c>
      <c r="S454" s="2" t="s">
        <v>49</v>
      </c>
      <c r="V454" s="2" t="s">
        <v>1078</v>
      </c>
      <c r="W454" s="2">
        <v>2</v>
      </c>
    </row>
    <row r="455" spans="1:23" ht="15.75" customHeight="1" x14ac:dyDescent="0.35">
      <c r="A455" s="2" t="s">
        <v>23</v>
      </c>
      <c r="L455" s="2">
        <v>130</v>
      </c>
      <c r="M455" s="2" t="s">
        <v>447</v>
      </c>
      <c r="O455" s="2" t="s">
        <v>1079</v>
      </c>
      <c r="P455" s="2" t="str">
        <f ca="1">IFERROR(__xludf.DUMMYFUNCTION("GOOGLETRANSLATE(O455,""en"",""bn"")"),"সত্যরঞ্জন দাস")</f>
        <v>সত্যরঞ্জন দাস</v>
      </c>
      <c r="Q455" s="2" t="s">
        <v>45</v>
      </c>
      <c r="S455" s="2" t="s">
        <v>45</v>
      </c>
      <c r="V455" s="2" t="s">
        <v>1080</v>
      </c>
      <c r="W455" s="2">
        <v>2</v>
      </c>
    </row>
    <row r="456" spans="1:23" ht="15.75" customHeight="1" x14ac:dyDescent="0.35">
      <c r="A456" s="2" t="s">
        <v>23</v>
      </c>
      <c r="L456" s="2">
        <v>87</v>
      </c>
      <c r="M456" s="2" t="s">
        <v>351</v>
      </c>
      <c r="O456" s="2" t="s">
        <v>1081</v>
      </c>
      <c r="P456" s="2" t="str">
        <f ca="1">IFERROR(__xludf.DUMMYFUNCTION("GOOGLETRANSLATE(O456,""en"",""bn"")"),"পার্থ সারথি চ্যাটার্জি (বাবু)")</f>
        <v>পার্থ সারথি চ্যাটার্জি (বাবু)</v>
      </c>
      <c r="Q456" s="2" t="s">
        <v>34</v>
      </c>
      <c r="S456" s="2" t="s">
        <v>34</v>
      </c>
      <c r="V456" s="2" t="s">
        <v>1082</v>
      </c>
      <c r="W456" s="2">
        <v>2</v>
      </c>
    </row>
    <row r="457" spans="1:23" ht="15.75" customHeight="1" x14ac:dyDescent="0.35">
      <c r="A457" s="2" t="s">
        <v>23</v>
      </c>
      <c r="L457" s="2">
        <v>95</v>
      </c>
      <c r="M457" s="2" t="s">
        <v>142</v>
      </c>
      <c r="O457" s="2" t="s">
        <v>1083</v>
      </c>
      <c r="P457" s="2" t="str">
        <f ca="1">IFERROR(__xludf.DUMMYFUNCTION("GOOGLETRANSLATE(O457,""en"",""bn"")"),"বিশ্বজিৎ দাস")</f>
        <v>বিশ্বজিৎ দাস</v>
      </c>
      <c r="Q457" s="2" t="s">
        <v>26</v>
      </c>
      <c r="S457" s="2" t="s">
        <v>26</v>
      </c>
      <c r="V457" s="2" t="s">
        <v>1084</v>
      </c>
      <c r="W457" s="2">
        <v>2</v>
      </c>
    </row>
    <row r="458" spans="1:23" ht="15.75" customHeight="1" x14ac:dyDescent="0.35">
      <c r="A458" s="2" t="s">
        <v>23</v>
      </c>
      <c r="L458" s="2">
        <v>100</v>
      </c>
      <c r="M458" s="2" t="s">
        <v>69</v>
      </c>
      <c r="O458" s="2" t="s">
        <v>1085</v>
      </c>
      <c r="P458" s="2" t="str">
        <f ca="1">IFERROR(__xludf.DUMMYFUNCTION("GOOGLETRANSLATE(O458,""en"",""bn"")"),"দেবদাস মন্ডল")</f>
        <v>দেবদাস মন্ডল</v>
      </c>
      <c r="Q458" s="2" t="s">
        <v>34</v>
      </c>
      <c r="S458" s="2" t="s">
        <v>34</v>
      </c>
      <c r="V458" s="2" t="s">
        <v>1086</v>
      </c>
      <c r="W458" s="2">
        <v>2</v>
      </c>
    </row>
    <row r="459" spans="1:23" ht="15.75" customHeight="1" x14ac:dyDescent="0.35">
      <c r="A459" s="2" t="s">
        <v>23</v>
      </c>
      <c r="L459" s="2">
        <v>157</v>
      </c>
      <c r="M459" s="2" t="s">
        <v>36</v>
      </c>
      <c r="O459" s="2" t="s">
        <v>1087</v>
      </c>
      <c r="P459" s="2" t="str">
        <f ca="1">IFERROR(__xludf.DUMMYFUNCTION("GOOGLETRANSLATE(O459,""en"",""bn"")"),"মনিরুল ইসলাম")</f>
        <v>মনিরুল ইসলাম</v>
      </c>
      <c r="Q459" s="2" t="s">
        <v>45</v>
      </c>
      <c r="S459" s="2" t="s">
        <v>45</v>
      </c>
      <c r="V459" s="2" t="s">
        <v>1088</v>
      </c>
      <c r="W459" s="2">
        <v>2</v>
      </c>
    </row>
    <row r="460" spans="1:23" ht="15.75" customHeight="1" x14ac:dyDescent="0.35">
      <c r="A460" s="2" t="s">
        <v>23</v>
      </c>
      <c r="L460" s="2">
        <v>173</v>
      </c>
      <c r="M460" s="2" t="s">
        <v>127</v>
      </c>
      <c r="O460" s="2" t="s">
        <v>1089</v>
      </c>
      <c r="P460" s="2" t="str">
        <f ca="1">IFERROR(__xludf.DUMMYFUNCTION("GOOGLETRANSLATE(O460,""en"",""bn"")"),"শ্যামল কুমার হাতি")</f>
        <v>শ্যামল কুমার হাতি</v>
      </c>
      <c r="Q460" s="2" t="s">
        <v>34</v>
      </c>
      <c r="S460" s="2" t="s">
        <v>34</v>
      </c>
      <c r="V460" s="2" t="s">
        <v>1090</v>
      </c>
      <c r="W460" s="2">
        <v>2</v>
      </c>
    </row>
    <row r="461" spans="1:23" ht="15.75" customHeight="1" x14ac:dyDescent="0.35">
      <c r="A461" s="2" t="s">
        <v>23</v>
      </c>
      <c r="L461" s="2">
        <v>273</v>
      </c>
      <c r="M461" s="2" t="s">
        <v>318</v>
      </c>
      <c r="O461" s="2" t="s">
        <v>1091</v>
      </c>
      <c r="P461" s="2" t="str">
        <f ca="1">IFERROR(__xludf.DUMMYFUNCTION("GOOGLETRANSLATE(O461,""en"",""bn"")"),"শ্যামা প্রসন্ন লোহার")</f>
        <v>শ্যামা প্রসন্ন লোহার</v>
      </c>
      <c r="Q461" s="2" t="s">
        <v>26</v>
      </c>
      <c r="S461" s="2" t="s">
        <v>26</v>
      </c>
      <c r="V461" s="2" t="s">
        <v>1092</v>
      </c>
      <c r="W461" s="2">
        <v>2</v>
      </c>
    </row>
    <row r="462" spans="1:23" ht="15.75" customHeight="1" x14ac:dyDescent="0.35">
      <c r="A462" s="2" t="s">
        <v>23</v>
      </c>
      <c r="L462" s="2">
        <v>169</v>
      </c>
      <c r="M462" s="2" t="s">
        <v>90</v>
      </c>
      <c r="O462" s="2" t="s">
        <v>1093</v>
      </c>
      <c r="P462" s="2" t="str">
        <f ca="1">IFERROR(__xludf.DUMMYFUNCTION("GOOGLETRANSLATE(O462,""en"",""bn"")"),"সঞ্জয় কুমার সিং")</f>
        <v>সঞ্জয় কুমার সিং</v>
      </c>
      <c r="Q462" s="2" t="s">
        <v>34</v>
      </c>
      <c r="S462" s="2" t="s">
        <v>34</v>
      </c>
      <c r="V462" s="2" t="s">
        <v>1094</v>
      </c>
      <c r="W462" s="2">
        <v>2</v>
      </c>
    </row>
    <row r="463" spans="1:23" ht="15.75" customHeight="1" x14ac:dyDescent="0.35">
      <c r="A463" s="2" t="s">
        <v>23</v>
      </c>
      <c r="L463" s="2">
        <v>92</v>
      </c>
      <c r="M463" s="2" t="s">
        <v>321</v>
      </c>
      <c r="O463" s="2" t="s">
        <v>1095</v>
      </c>
      <c r="P463" s="2" t="str">
        <f ca="1">IFERROR(__xludf.DUMMYFUNCTION("GOOGLETRANSLATE(O463,""en"",""bn"")"),"রামকৃষ্ণ বারাই")</f>
        <v>রামকৃষ্ণ বারাই</v>
      </c>
      <c r="Q463" s="2" t="s">
        <v>49</v>
      </c>
      <c r="S463" s="2" t="s">
        <v>49</v>
      </c>
      <c r="V463" s="2" t="s">
        <v>1096</v>
      </c>
      <c r="W463" s="2">
        <v>2</v>
      </c>
    </row>
    <row r="464" spans="1:23" ht="15.75" customHeight="1" x14ac:dyDescent="0.35">
      <c r="A464" s="2" t="s">
        <v>23</v>
      </c>
      <c r="L464" s="2">
        <v>181</v>
      </c>
      <c r="M464" s="2" t="s">
        <v>193</v>
      </c>
      <c r="O464" s="2" t="s">
        <v>1097</v>
      </c>
      <c r="P464" s="2" t="str">
        <f ca="1">IFERROR(__xludf.DUMMYFUNCTION("GOOGLETRANSLATE(O464,""en"",""bn"")"),"সুকান্ত কুমার পল")</f>
        <v>সুকান্ত কুমার পল</v>
      </c>
      <c r="Q464" s="2" t="s">
        <v>26</v>
      </c>
      <c r="S464" s="2" t="s">
        <v>26</v>
      </c>
      <c r="V464" s="2" t="s">
        <v>1098</v>
      </c>
      <c r="W464" s="2">
        <v>2</v>
      </c>
    </row>
    <row r="465" spans="1:23" ht="15.75" customHeight="1" x14ac:dyDescent="0.35">
      <c r="A465" s="2" t="s">
        <v>23</v>
      </c>
      <c r="L465" s="2">
        <v>85</v>
      </c>
      <c r="M465" s="2" t="s">
        <v>387</v>
      </c>
      <c r="O465" s="2" t="s">
        <v>1099</v>
      </c>
      <c r="P465" s="2" t="str">
        <f ca="1">IFERROR(__xludf.DUMMYFUNCTION("GOOGLETRANSLATE(O465,""en"",""bn"")"),"সুশান্ত কে আর মন্ডল")</f>
        <v>সুশান্ত কে আর মন্ডল</v>
      </c>
      <c r="Q465" s="2" t="s">
        <v>49</v>
      </c>
      <c r="S465" s="2" t="s">
        <v>49</v>
      </c>
      <c r="V465" s="2" t="s">
        <v>1100</v>
      </c>
      <c r="W465" s="2">
        <v>2</v>
      </c>
    </row>
    <row r="466" spans="1:23" ht="15.75" customHeight="1" x14ac:dyDescent="0.35">
      <c r="A466" s="2" t="s">
        <v>23</v>
      </c>
      <c r="L466" s="2">
        <v>188</v>
      </c>
      <c r="M466" s="2" t="s">
        <v>106</v>
      </c>
      <c r="O466" s="2" t="s">
        <v>1101</v>
      </c>
      <c r="P466" s="2" t="str">
        <f ca="1">IFERROR(__xludf.DUMMYFUNCTION("GOOGLETRANSLATE(O466,""en"",""bn"")"),"বরুণ কুমার মালিক")</f>
        <v>বরুণ কুমার মালিক</v>
      </c>
      <c r="Q466" s="2" t="s">
        <v>41</v>
      </c>
      <c r="S466" s="2" t="s">
        <v>41</v>
      </c>
      <c r="V466" s="2" t="s">
        <v>1102</v>
      </c>
      <c r="W466" s="2">
        <v>2</v>
      </c>
    </row>
    <row r="467" spans="1:23" ht="15.75" customHeight="1" x14ac:dyDescent="0.35">
      <c r="A467" s="2" t="s">
        <v>23</v>
      </c>
      <c r="L467" s="2">
        <v>107</v>
      </c>
      <c r="M467" s="2" t="s">
        <v>32</v>
      </c>
      <c r="O467" s="2" t="s">
        <v>1103</v>
      </c>
      <c r="P467" s="2" t="str">
        <f ca="1">IFERROR(__xludf.DUMMYFUNCTION("GOOGLETRANSLATE(O467,""en"",""bn"")"),"ত্রিনঙ্কুর ভট্টাচার্য")</f>
        <v>ত্রিনঙ্কুর ভট্টাচার্য</v>
      </c>
      <c r="Q467" s="2" t="s">
        <v>26</v>
      </c>
      <c r="S467" s="2" t="s">
        <v>26</v>
      </c>
      <c r="V467" s="2" t="s">
        <v>1104</v>
      </c>
      <c r="W467" s="2">
        <v>2</v>
      </c>
    </row>
    <row r="468" spans="1:23" ht="15.75" customHeight="1" x14ac:dyDescent="0.35">
      <c r="A468" s="2" t="s">
        <v>23</v>
      </c>
      <c r="L468" s="2">
        <v>128</v>
      </c>
      <c r="M468" s="2" t="s">
        <v>124</v>
      </c>
      <c r="O468" s="2" t="s">
        <v>1105</v>
      </c>
      <c r="P468" s="2" t="str">
        <f ca="1">IFERROR(__xludf.DUMMYFUNCTION("GOOGLETRANSLATE(O468,""en"",""bn"")"),"অসিত রায়")</f>
        <v>অসিত রায়</v>
      </c>
      <c r="Q468" s="2" t="s">
        <v>1047</v>
      </c>
      <c r="S468" s="2" t="s">
        <v>1047</v>
      </c>
      <c r="V468" s="2" t="s">
        <v>1106</v>
      </c>
      <c r="W468" s="2">
        <v>2</v>
      </c>
    </row>
    <row r="469" spans="1:23" ht="15.75" customHeight="1" x14ac:dyDescent="0.35">
      <c r="A469" s="2" t="s">
        <v>23</v>
      </c>
      <c r="L469" s="2">
        <v>272</v>
      </c>
      <c r="M469" s="2" t="s">
        <v>357</v>
      </c>
      <c r="O469" s="2" t="s">
        <v>863</v>
      </c>
      <c r="P469" s="2" t="str">
        <f ca="1">IFERROR(__xludf.DUMMYFUNCTION("GOOGLETRANSLATE(O469,""en"",""bn"")"),"রামকৃষ্ণ মালিক (দেব)")</f>
        <v>রামকৃষ্ণ মালিক (দেব)</v>
      </c>
      <c r="Q469" s="2" t="s">
        <v>49</v>
      </c>
      <c r="S469" s="2" t="s">
        <v>49</v>
      </c>
      <c r="V469" s="2" t="s">
        <v>1107</v>
      </c>
      <c r="W469" s="2">
        <v>2</v>
      </c>
    </row>
    <row r="470" spans="1:23" ht="15.75" customHeight="1" x14ac:dyDescent="0.35">
      <c r="A470" s="2" t="s">
        <v>23</v>
      </c>
      <c r="L470" s="2">
        <v>120</v>
      </c>
      <c r="M470" s="2" t="s">
        <v>309</v>
      </c>
      <c r="O470" s="2" t="s">
        <v>1108</v>
      </c>
      <c r="P470" s="2" t="str">
        <f ca="1">IFERROR(__xludf.DUMMYFUNCTION("GOOGLETRANSLATE(O470,""en"",""bn"")"),"আব্দুল আরিফ")</f>
        <v>আব্দুল আরিফ</v>
      </c>
      <c r="Q470" s="2" t="s">
        <v>1109</v>
      </c>
      <c r="S470" s="2" t="s">
        <v>1109</v>
      </c>
      <c r="V470" s="2" t="s">
        <v>1110</v>
      </c>
      <c r="W470" s="2">
        <v>2</v>
      </c>
    </row>
    <row r="471" spans="1:23" ht="15.75" customHeight="1" x14ac:dyDescent="0.35">
      <c r="A471" s="2" t="s">
        <v>23</v>
      </c>
      <c r="L471" s="2">
        <v>106</v>
      </c>
      <c r="M471" s="2" t="s">
        <v>283</v>
      </c>
      <c r="O471" s="2" t="s">
        <v>1111</v>
      </c>
      <c r="P471" s="2" t="str">
        <f ca="1">IFERROR(__xludf.DUMMYFUNCTION("GOOGLETRANSLATE(O471,""en"",""bn"")"),"ডাঃ রাজেশ কুমার")</f>
        <v>ডাঃ রাজেশ কুমার</v>
      </c>
      <c r="Q471" s="2" t="s">
        <v>34</v>
      </c>
      <c r="S471" s="2" t="s">
        <v>34</v>
      </c>
      <c r="V471" s="2" t="s">
        <v>1112</v>
      </c>
      <c r="W471" s="2">
        <v>2</v>
      </c>
    </row>
    <row r="472" spans="1:23" ht="15.75" customHeight="1" x14ac:dyDescent="0.35">
      <c r="A472" s="2" t="s">
        <v>23</v>
      </c>
      <c r="L472" s="2">
        <v>88</v>
      </c>
      <c r="M472" s="2" t="s">
        <v>306</v>
      </c>
      <c r="O472" s="2" t="s">
        <v>1113</v>
      </c>
      <c r="P472" s="2" t="str">
        <f ca="1">IFERROR(__xludf.DUMMYFUNCTION("GOOGLETRANSLATE(O472,""en"",""bn"")"),"সমীর কুমার পোদ্দার")</f>
        <v>সমীর কুমার পোদ্দার</v>
      </c>
      <c r="Q472" s="2" t="s">
        <v>26</v>
      </c>
      <c r="S472" s="2" t="s">
        <v>26</v>
      </c>
      <c r="V472" s="2" t="s">
        <v>1114</v>
      </c>
      <c r="W472" s="2">
        <v>2</v>
      </c>
    </row>
    <row r="473" spans="1:23" ht="15.75" customHeight="1" x14ac:dyDescent="0.35">
      <c r="A473" s="2" t="s">
        <v>23</v>
      </c>
      <c r="L473" s="2">
        <v>161</v>
      </c>
      <c r="M473" s="2" t="s">
        <v>112</v>
      </c>
      <c r="O473" s="2" t="s">
        <v>1115</v>
      </c>
      <c r="P473" s="2" t="str">
        <f ca="1">IFERROR(__xludf.DUMMYFUNCTION("GOOGLETRANSLATE(O473,""en"",""bn"")"),"শাতোরূপা")</f>
        <v>শাতোরূপা</v>
      </c>
      <c r="Q473" s="2" t="s">
        <v>34</v>
      </c>
      <c r="S473" s="2" t="s">
        <v>34</v>
      </c>
      <c r="V473" s="2" t="s">
        <v>1116</v>
      </c>
      <c r="W473" s="2">
        <v>2</v>
      </c>
    </row>
    <row r="474" spans="1:23" ht="15.75" customHeight="1" x14ac:dyDescent="0.35">
      <c r="A474" s="2" t="s">
        <v>23</v>
      </c>
      <c r="L474" s="2">
        <v>150</v>
      </c>
      <c r="M474" s="2" t="s">
        <v>181</v>
      </c>
      <c r="O474" s="2" t="s">
        <v>1117</v>
      </c>
      <c r="P474" s="2" t="str">
        <f ca="1">IFERROR(__xludf.DUMMYFUNCTION("GOOGLETRANSLATE(O474,""en"",""bn"")"),"শ্যামলী মণ্ডল")</f>
        <v>শ্যামলী মণ্ডল</v>
      </c>
      <c r="Q474" s="2" t="s">
        <v>41</v>
      </c>
      <c r="S474" s="2" t="s">
        <v>41</v>
      </c>
      <c r="V474" s="2" t="s">
        <v>1118</v>
      </c>
      <c r="W474" s="2">
        <v>2</v>
      </c>
    </row>
    <row r="475" spans="1:23" ht="15.75" customHeight="1" x14ac:dyDescent="0.35">
      <c r="A475" s="2" t="s">
        <v>23</v>
      </c>
      <c r="L475" s="2">
        <v>262</v>
      </c>
      <c r="M475" s="2" t="s">
        <v>417</v>
      </c>
      <c r="O475" s="2" t="s">
        <v>1119</v>
      </c>
      <c r="P475" s="2" t="str">
        <f ca="1">IFERROR(__xludf.DUMMYFUNCTION("GOOGLETRANSLATE(O475,""en"",""bn"")"),"রাজিব সাহা")</f>
        <v>রাজিব সাহা</v>
      </c>
      <c r="Q475" s="2" t="s">
        <v>41</v>
      </c>
      <c r="S475" s="2" t="s">
        <v>41</v>
      </c>
      <c r="V475" s="2" t="s">
        <v>1120</v>
      </c>
      <c r="W475" s="2">
        <v>2</v>
      </c>
    </row>
    <row r="476" spans="1:23" ht="15.75" customHeight="1" x14ac:dyDescent="0.35">
      <c r="A476" s="2" t="s">
        <v>23</v>
      </c>
      <c r="L476" s="2">
        <v>125</v>
      </c>
      <c r="M476" s="2" t="s">
        <v>160</v>
      </c>
      <c r="O476" s="2" t="s">
        <v>1121</v>
      </c>
      <c r="P476" s="2" t="str">
        <f ca="1">IFERROR(__xludf.DUMMYFUNCTION("GOOGLETRANSLATE(O476,""en"",""bn"")"),"আশিকুল ইসলাম")</f>
        <v>আশিকুল ইসলাম</v>
      </c>
      <c r="Q476" s="2" t="s">
        <v>1109</v>
      </c>
      <c r="S476" s="2" t="s">
        <v>1109</v>
      </c>
      <c r="V476" s="2" t="s">
        <v>1122</v>
      </c>
      <c r="W476" s="2">
        <v>2</v>
      </c>
    </row>
    <row r="477" spans="1:23" ht="15.75" customHeight="1" x14ac:dyDescent="0.35">
      <c r="A477" s="2" t="s">
        <v>23</v>
      </c>
      <c r="L477" s="2">
        <v>84</v>
      </c>
      <c r="M477" s="2" t="s">
        <v>297</v>
      </c>
      <c r="O477" s="2" t="s">
        <v>1123</v>
      </c>
      <c r="P477" s="2" t="str">
        <f ca="1">IFERROR(__xludf.DUMMYFUNCTION("GOOGLETRANSLATE(O477,""en"",""bn"")"),"সমীর সাহা")</f>
        <v>সমীর সাহা</v>
      </c>
      <c r="Q477" s="2" t="s">
        <v>41</v>
      </c>
      <c r="S477" s="2" t="s">
        <v>41</v>
      </c>
      <c r="V477" s="2" t="s">
        <v>1124</v>
      </c>
      <c r="W477" s="2">
        <v>2</v>
      </c>
    </row>
    <row r="478" spans="1:23" ht="15.75" customHeight="1" x14ac:dyDescent="0.35">
      <c r="A478" s="2" t="s">
        <v>23</v>
      </c>
      <c r="L478" s="2">
        <v>97</v>
      </c>
      <c r="M478" s="2" t="s">
        <v>423</v>
      </c>
      <c r="O478" s="2" t="s">
        <v>1125</v>
      </c>
      <c r="P478" s="2" t="str">
        <f ca="1">IFERROR(__xludf.DUMMYFUNCTION("GOOGLETRANSLATE(O478,""en"",""bn"")"),"সুব্রত ঠাকুর")</f>
        <v>সুব্রত ঠাকুর</v>
      </c>
      <c r="Q478" s="2" t="s">
        <v>34</v>
      </c>
      <c r="S478" s="2" t="s">
        <v>34</v>
      </c>
      <c r="V478" s="2" t="s">
        <v>1126</v>
      </c>
      <c r="W478" s="2">
        <v>2</v>
      </c>
    </row>
    <row r="479" spans="1:23" ht="15.75" customHeight="1" x14ac:dyDescent="0.35">
      <c r="A479" s="2" t="s">
        <v>23</v>
      </c>
      <c r="L479" s="2">
        <v>127</v>
      </c>
      <c r="M479" s="2" t="s">
        <v>289</v>
      </c>
      <c r="O479" s="2" t="s">
        <v>1127</v>
      </c>
      <c r="P479" s="2" t="str">
        <f ca="1">IFERROR(__xludf.DUMMYFUNCTION("GOOGLETRANSLATE(O479,""en"",""bn"")"),"হরিপদ মন্ডল")</f>
        <v>হরিপদ মন্ডল</v>
      </c>
      <c r="Q479" s="2" t="s">
        <v>49</v>
      </c>
      <c r="S479" s="2" t="s">
        <v>49</v>
      </c>
      <c r="V479" s="2" t="s">
        <v>1128</v>
      </c>
      <c r="W479" s="2">
        <v>2</v>
      </c>
    </row>
    <row r="480" spans="1:23" ht="15.75" customHeight="1" x14ac:dyDescent="0.35">
      <c r="A480" s="2" t="s">
        <v>23</v>
      </c>
      <c r="L480" s="2">
        <v>112</v>
      </c>
      <c r="M480" s="2" t="s">
        <v>196</v>
      </c>
      <c r="O480" s="2" t="s">
        <v>1129</v>
      </c>
      <c r="P480" s="2" t="str">
        <f ca="1">IFERROR(__xludf.DUMMYFUNCTION("GOOGLETRANSLATE(O480,""en"",""bn"")"),"মানস মুখার্জি")</f>
        <v>মানস মুখার্জি</v>
      </c>
      <c r="Q480" s="2" t="s">
        <v>45</v>
      </c>
      <c r="S480" s="2" t="s">
        <v>45</v>
      </c>
      <c r="V480" s="2" t="s">
        <v>1130</v>
      </c>
      <c r="W480" s="2">
        <v>2</v>
      </c>
    </row>
    <row r="481" spans="1:23" ht="15.75" customHeight="1" x14ac:dyDescent="0.35">
      <c r="A481" s="2" t="s">
        <v>23</v>
      </c>
      <c r="L481" s="2">
        <v>182</v>
      </c>
      <c r="M481" s="2" t="s">
        <v>97</v>
      </c>
      <c r="O481" s="2" t="s">
        <v>1131</v>
      </c>
      <c r="P481" s="2" t="str">
        <f ca="1">IFERROR(__xludf.DUMMYFUNCTION("GOOGLETRANSLATE(O481,""en"",""bn"")"),"সমীর কুমার পাঞ্জা")</f>
        <v>সমীর কুমার পাঞ্জা</v>
      </c>
      <c r="Q481" s="2" t="s">
        <v>26</v>
      </c>
      <c r="S481" s="2" t="s">
        <v>26</v>
      </c>
      <c r="V481" s="2" t="s">
        <v>1132</v>
      </c>
      <c r="W481" s="2">
        <v>2</v>
      </c>
    </row>
    <row r="482" spans="1:23" ht="15.75" customHeight="1" x14ac:dyDescent="0.35">
      <c r="A482" s="2" t="s">
        <v>23</v>
      </c>
      <c r="L482" s="2">
        <v>202</v>
      </c>
      <c r="M482" s="2" t="s">
        <v>312</v>
      </c>
      <c r="O482" s="2" t="s">
        <v>1133</v>
      </c>
      <c r="P482" s="2" t="str">
        <f ca="1">IFERROR(__xludf.DUMMYFUNCTION("GOOGLETRANSLATE(O482,""en"",""bn"")"),"সুশান্ত ঘোষ")</f>
        <v>সুশান্ত ঘোষ</v>
      </c>
      <c r="Q482" s="2" t="s">
        <v>34</v>
      </c>
      <c r="S482" s="2" t="s">
        <v>34</v>
      </c>
      <c r="V482" s="2" t="s">
        <v>1134</v>
      </c>
      <c r="W482" s="2">
        <v>2</v>
      </c>
    </row>
    <row r="483" spans="1:23" ht="15.75" customHeight="1" x14ac:dyDescent="0.35">
      <c r="A483" s="2" t="s">
        <v>23</v>
      </c>
      <c r="L483" s="2">
        <v>189</v>
      </c>
      <c r="M483" s="2" t="s">
        <v>223</v>
      </c>
      <c r="O483" s="2" t="s">
        <v>1135</v>
      </c>
      <c r="P483" s="2" t="str">
        <f ca="1">IFERROR(__xludf.DUMMYFUNCTION("GOOGLETRANSLATE(O483,""en"",""bn"")"),"রতন কুমার গোল্ডার")</f>
        <v>রতন কুমার গোল্ডার</v>
      </c>
      <c r="Q483" s="2" t="s">
        <v>41</v>
      </c>
      <c r="S483" s="2" t="s">
        <v>41</v>
      </c>
      <c r="V483" s="2" t="s">
        <v>1136</v>
      </c>
      <c r="W483" s="2">
        <v>2</v>
      </c>
    </row>
    <row r="484" spans="1:23" ht="15.75" customHeight="1" x14ac:dyDescent="0.35">
      <c r="A484" s="2" t="s">
        <v>23</v>
      </c>
      <c r="L484" s="2">
        <v>162</v>
      </c>
      <c r="M484" s="2" t="s">
        <v>411</v>
      </c>
      <c r="O484" s="2" t="s">
        <v>1137</v>
      </c>
      <c r="P484" s="2" t="str">
        <f ca="1">IFERROR(__xludf.DUMMYFUNCTION("GOOGLETRANSLATE(O484,""en"",""bn"")"),"সন্তোষ কুমার পাঠক")</f>
        <v>সন্তোষ কুমার পাঠক</v>
      </c>
      <c r="Q484" s="2" t="s">
        <v>34</v>
      </c>
      <c r="S484" s="2" t="s">
        <v>34</v>
      </c>
      <c r="V484" s="2" t="s">
        <v>1138</v>
      </c>
      <c r="W484" s="2">
        <v>2</v>
      </c>
    </row>
    <row r="485" spans="1:23" ht="15.75" customHeight="1" x14ac:dyDescent="0.35">
      <c r="A485" s="2" t="s">
        <v>23</v>
      </c>
      <c r="L485" s="2">
        <v>89</v>
      </c>
      <c r="M485" s="2" t="s">
        <v>426</v>
      </c>
      <c r="O485" s="2" t="s">
        <v>1139</v>
      </c>
      <c r="P485" s="2" t="str">
        <f ca="1">IFERROR(__xludf.DUMMYFUNCTION("GOOGLETRANSLATE(O485,""en"",""bn"")"),"বিন্দু বিশ্বাস")</f>
        <v>বিন্দু বিশ্বাস</v>
      </c>
      <c r="Q485" s="2" t="s">
        <v>49</v>
      </c>
      <c r="S485" s="2" t="s">
        <v>49</v>
      </c>
      <c r="V485" s="2" t="s">
        <v>1140</v>
      </c>
      <c r="W485" s="2">
        <v>2</v>
      </c>
    </row>
    <row r="486" spans="1:23" ht="15.75" customHeight="1" x14ac:dyDescent="0.35">
      <c r="A486" s="2" t="s">
        <v>23</v>
      </c>
      <c r="L486" s="2">
        <v>96</v>
      </c>
      <c r="M486" s="2" t="s">
        <v>229</v>
      </c>
      <c r="O486" s="2" t="s">
        <v>1141</v>
      </c>
      <c r="P486" s="2" t="str">
        <f ca="1">IFERROR(__xludf.DUMMYFUNCTION("GOOGLETRANSLATE(O486,""en"",""bn"")"),"সন্তোষ কুমার সিকদার")</f>
        <v>সন্তোষ কুমার সিকদার</v>
      </c>
      <c r="Q486" s="2" t="s">
        <v>49</v>
      </c>
      <c r="S486" s="2" t="s">
        <v>49</v>
      </c>
      <c r="V486" s="2" t="s">
        <v>1142</v>
      </c>
      <c r="W486" s="2">
        <v>2</v>
      </c>
    </row>
    <row r="487" spans="1:23" ht="15.75" customHeight="1" x14ac:dyDescent="0.35">
      <c r="A487" s="2" t="s">
        <v>23</v>
      </c>
      <c r="L487" s="2">
        <v>122</v>
      </c>
      <c r="M487" s="2" t="s">
        <v>232</v>
      </c>
      <c r="O487" s="2" t="s">
        <v>1143</v>
      </c>
      <c r="P487" s="2" t="str">
        <f ca="1">IFERROR(__xludf.DUMMYFUNCTION("GOOGLETRANSLATE(O487,""en"",""bn"")"),"প্রতীক মন্ডল")</f>
        <v>প্রতীক মন্ডল</v>
      </c>
      <c r="Q487" s="2" t="s">
        <v>1047</v>
      </c>
      <c r="S487" s="2" t="s">
        <v>1047</v>
      </c>
      <c r="V487" s="2" t="s">
        <v>1144</v>
      </c>
      <c r="W487" s="2">
        <v>2</v>
      </c>
    </row>
    <row r="488" spans="1:23" ht="15.75" customHeight="1" x14ac:dyDescent="0.35">
      <c r="A488" s="2" t="s">
        <v>23</v>
      </c>
      <c r="L488" s="2">
        <v>148</v>
      </c>
      <c r="M488" s="2" t="s">
        <v>408</v>
      </c>
      <c r="O488" s="2" t="s">
        <v>1145</v>
      </c>
      <c r="P488" s="2" t="str">
        <f ca="1">IFERROR(__xludf.DUMMYFUNCTION("GOOGLETRANSLATE(O488,""en"",""bn"")"),"সাওকাত মোল্লা")</f>
        <v>সাওকাত মোল্লা</v>
      </c>
      <c r="Q488" s="2" t="s">
        <v>26</v>
      </c>
      <c r="S488" s="2" t="s">
        <v>26</v>
      </c>
      <c r="V488" s="2" t="s">
        <v>1146</v>
      </c>
      <c r="W488" s="2">
        <v>2</v>
      </c>
    </row>
    <row r="489" spans="1:23" ht="15.75" customHeight="1" x14ac:dyDescent="0.35">
      <c r="A489" s="2" t="s">
        <v>23</v>
      </c>
      <c r="L489" s="2">
        <v>193</v>
      </c>
      <c r="M489" s="2" t="s">
        <v>118</v>
      </c>
      <c r="O489" s="2" t="s">
        <v>1147</v>
      </c>
      <c r="P489" s="2" t="str">
        <f ca="1">IFERROR(__xludf.DUMMYFUNCTION("GOOGLETRANSLATE(O489,""en"",""bn"")"),"স্বরাজ ঘোষ")</f>
        <v>স্বরাজ ঘোষ</v>
      </c>
      <c r="Q489" s="2" t="s">
        <v>34</v>
      </c>
      <c r="S489" s="2" t="s">
        <v>34</v>
      </c>
      <c r="V489" s="2" t="s">
        <v>1148</v>
      </c>
      <c r="W489" s="2">
        <v>2</v>
      </c>
    </row>
    <row r="490" spans="1:23" ht="15.75" customHeight="1" x14ac:dyDescent="0.35">
      <c r="A490" s="2" t="s">
        <v>23</v>
      </c>
      <c r="L490" s="2">
        <v>116</v>
      </c>
      <c r="M490" s="2" t="s">
        <v>39</v>
      </c>
      <c r="O490" s="2" t="s">
        <v>1149</v>
      </c>
      <c r="P490" s="2" t="str">
        <f ca="1">IFERROR(__xludf.DUMMYFUNCTION("GOOGLETRANSLATE(O490,""en"",""bn"")"),"সুজিত বোস")</f>
        <v>সুজিত বোস</v>
      </c>
      <c r="Q490" s="2" t="s">
        <v>26</v>
      </c>
      <c r="S490" s="2" t="s">
        <v>26</v>
      </c>
      <c r="V490" s="2" t="s">
        <v>1150</v>
      </c>
      <c r="W490" s="2">
        <v>2</v>
      </c>
    </row>
    <row r="491" spans="1:23" ht="15.75" customHeight="1" x14ac:dyDescent="0.35">
      <c r="A491" s="2" t="s">
        <v>23</v>
      </c>
      <c r="L491" s="2">
        <v>170</v>
      </c>
      <c r="M491" s="2" t="s">
        <v>438</v>
      </c>
      <c r="O491" s="2" t="s">
        <v>1151</v>
      </c>
      <c r="P491" s="2" t="str">
        <f ca="1">IFERROR(__xludf.DUMMYFUNCTION("GOOGLETRANSLATE(O491,""en"",""bn"")"),"গৌতম রায়")</f>
        <v>গৌতম রায়</v>
      </c>
      <c r="Q491" s="2" t="s">
        <v>45</v>
      </c>
      <c r="S491" s="2" t="s">
        <v>45</v>
      </c>
      <c r="V491" s="2" t="s">
        <v>1152</v>
      </c>
      <c r="W491" s="2">
        <v>2</v>
      </c>
    </row>
    <row r="492" spans="1:23" ht="15.75" customHeight="1" x14ac:dyDescent="0.35">
      <c r="A492" s="2" t="s">
        <v>23</v>
      </c>
      <c r="L492" s="2">
        <v>80</v>
      </c>
      <c r="M492" s="2" t="s">
        <v>175</v>
      </c>
      <c r="O492" s="2" t="s">
        <v>1153</v>
      </c>
      <c r="P492" s="2" t="str">
        <f ca="1">IFERROR(__xludf.DUMMYFUNCTION("GOOGLETRANSLATE(O492,""en"",""bn"")"),"সুব্রত শেখর বিশ্বাস")</f>
        <v>সুব্রত শেখর বিশ্বাস</v>
      </c>
      <c r="Q492" s="2" t="s">
        <v>49</v>
      </c>
      <c r="S492" s="2" t="s">
        <v>49</v>
      </c>
      <c r="V492" s="2" t="s">
        <v>1154</v>
      </c>
      <c r="W492" s="2">
        <v>2</v>
      </c>
    </row>
    <row r="493" spans="1:23" ht="15.75" customHeight="1" x14ac:dyDescent="0.35">
      <c r="A493" s="2" t="s">
        <v>23</v>
      </c>
      <c r="L493" s="2">
        <v>86</v>
      </c>
      <c r="M493" s="2" t="s">
        <v>432</v>
      </c>
      <c r="O493" s="2" t="s">
        <v>1155</v>
      </c>
      <c r="P493" s="2" t="str">
        <f ca="1">IFERROR(__xludf.DUMMYFUNCTION("GOOGLETRANSLATE(O493,""en"",""bn"")"),"সোমেন মাহাতো")</f>
        <v>সোমেন মাহাতো</v>
      </c>
      <c r="Q493" s="2" t="s">
        <v>45</v>
      </c>
      <c r="S493" s="2" t="s">
        <v>45</v>
      </c>
      <c r="V493" s="2" t="s">
        <v>1156</v>
      </c>
      <c r="W493" s="2">
        <v>2</v>
      </c>
    </row>
    <row r="494" spans="1:23" ht="15.75" customHeight="1" x14ac:dyDescent="0.35">
      <c r="A494" s="2" t="s">
        <v>23</v>
      </c>
      <c r="L494" s="2">
        <v>166</v>
      </c>
      <c r="M494" s="2" t="s">
        <v>247</v>
      </c>
      <c r="O494" s="2" t="s">
        <v>1157</v>
      </c>
      <c r="P494" s="2" t="str">
        <f ca="1">IFERROR(__xludf.DUMMYFUNCTION("GOOGLETRANSLATE(O494,""en"",""bn"")"),"শশী পাঞ্জা")</f>
        <v>শশী পাঞ্জা</v>
      </c>
      <c r="Q494" s="2" t="s">
        <v>26</v>
      </c>
      <c r="S494" s="2" t="s">
        <v>26</v>
      </c>
      <c r="V494" s="2" t="s">
        <v>1158</v>
      </c>
      <c r="W494" s="2">
        <v>2</v>
      </c>
    </row>
    <row r="495" spans="1:23" ht="15.75" customHeight="1" x14ac:dyDescent="0.35">
      <c r="A495" s="2" t="s">
        <v>23</v>
      </c>
      <c r="L495" s="2">
        <v>260</v>
      </c>
      <c r="M495" s="2" t="s">
        <v>292</v>
      </c>
      <c r="O495" s="2" t="s">
        <v>1159</v>
      </c>
      <c r="P495" s="2" t="str">
        <f ca="1">IFERROR(__xludf.DUMMYFUNCTION("GOOGLETRANSLATE(O495,""en"",""bn"")"),"মৌমিতা বিশ্বাস মিশ্র")</f>
        <v>মৌমিতা বিশ্বাস মিশ্র</v>
      </c>
      <c r="Q495" s="2" t="s">
        <v>34</v>
      </c>
      <c r="S495" s="2" t="s">
        <v>34</v>
      </c>
      <c r="V495" s="2" t="s">
        <v>1160</v>
      </c>
      <c r="W495" s="2">
        <v>2</v>
      </c>
    </row>
    <row r="496" spans="1:23" ht="15.75" customHeight="1" x14ac:dyDescent="0.35">
      <c r="A496" s="2" t="s">
        <v>23</v>
      </c>
      <c r="L496" s="2">
        <v>263</v>
      </c>
      <c r="M496" s="2" t="s">
        <v>78</v>
      </c>
      <c r="O496" s="2" t="s">
        <v>1161</v>
      </c>
      <c r="P496" s="2" t="str">
        <f ca="1">IFERROR(__xludf.DUMMYFUNCTION("GOOGLETRANSLATE(O496,""en"",""bn"")"),"চৌধুরী সিদ্দিকুল্লাহ")</f>
        <v>চৌধুরী সিদ্দিকুল্লাহ</v>
      </c>
      <c r="Q496" s="2" t="s">
        <v>26</v>
      </c>
      <c r="S496" s="2" t="s">
        <v>26</v>
      </c>
      <c r="V496" s="2" t="s">
        <v>1162</v>
      </c>
      <c r="W496" s="2">
        <v>2</v>
      </c>
    </row>
    <row r="497" spans="1:23" ht="15.75" customHeight="1" x14ac:dyDescent="0.35">
      <c r="A497" s="2" t="s">
        <v>23</v>
      </c>
      <c r="L497" s="2">
        <v>146</v>
      </c>
      <c r="M497" s="2" t="s">
        <v>75</v>
      </c>
      <c r="O497" s="2" t="s">
        <v>1163</v>
      </c>
      <c r="P497" s="2" t="str">
        <f ca="1">IFERROR(__xludf.DUMMYFUNCTION("GOOGLETRANSLATE(O497,""en"",""bn"")"),"রবীন্দ্রনাথ রঞ্জন")</f>
        <v>রবীন্দ্রনাথ রঞ্জন</v>
      </c>
      <c r="Q497" s="2" t="s">
        <v>49</v>
      </c>
      <c r="S497" s="2" t="s">
        <v>49</v>
      </c>
      <c r="V497" s="2" t="s">
        <v>1164</v>
      </c>
      <c r="W497" s="2">
        <v>2</v>
      </c>
    </row>
    <row r="498" spans="1:23" ht="15.75" customHeight="1" x14ac:dyDescent="0.35">
      <c r="A498" s="2" t="s">
        <v>23</v>
      </c>
      <c r="L498" s="2">
        <v>142</v>
      </c>
      <c r="M498" s="2" t="s">
        <v>414</v>
      </c>
      <c r="O498" s="2" t="s">
        <v>1165</v>
      </c>
      <c r="P498" s="2" t="str">
        <f ca="1">IFERROR(__xludf.DUMMYFUNCTION("GOOGLETRANSLATE(O498,""en"",""bn"")"),"এমডি. আবু সিদ্দিক লস্কর")</f>
        <v>এমডি. আবু সিদ্দিক লস্কর</v>
      </c>
      <c r="Q498" s="2" t="s">
        <v>1109</v>
      </c>
      <c r="S498" s="2" t="s">
        <v>1109</v>
      </c>
      <c r="V498" s="2" t="s">
        <v>1166</v>
      </c>
      <c r="W498" s="2">
        <v>2</v>
      </c>
    </row>
    <row r="499" spans="1:23" ht="15.75" customHeight="1" x14ac:dyDescent="0.35">
      <c r="A499" s="2" t="s">
        <v>23</v>
      </c>
      <c r="L499" s="2">
        <v>110</v>
      </c>
      <c r="M499" s="2" t="s">
        <v>259</v>
      </c>
      <c r="O499" s="2" t="s">
        <v>1167</v>
      </c>
      <c r="P499" s="2" t="str">
        <f ca="1">IFERROR(__xludf.DUMMYFUNCTION("GOOGLETRANSLATE(O499,""en"",""bn"")"),"সত্যব্রত মজুমদার")</f>
        <v>সত্যব্রত মজুমদার</v>
      </c>
      <c r="Q499" s="2" t="s">
        <v>49</v>
      </c>
      <c r="S499" s="2" t="s">
        <v>49</v>
      </c>
      <c r="V499" s="2" t="s">
        <v>1168</v>
      </c>
      <c r="W499" s="2">
        <v>2</v>
      </c>
    </row>
    <row r="500" spans="1:23" ht="15.75" customHeight="1" x14ac:dyDescent="0.35">
      <c r="A500" s="2" t="s">
        <v>23</v>
      </c>
      <c r="L500" s="2">
        <v>159</v>
      </c>
      <c r="M500" s="2" t="s">
        <v>157</v>
      </c>
      <c r="O500" s="2" t="s">
        <v>1169</v>
      </c>
      <c r="P500" s="2" t="str">
        <f ca="1">IFERROR(__xludf.DUMMYFUNCTION("GOOGLETRANSLATE(O500,""en"",""bn"")"),"শ্রীজীব বিশ্বাস")</f>
        <v>শ্রীজীব বিশ্বাস</v>
      </c>
      <c r="Q500" s="2" t="s">
        <v>45</v>
      </c>
      <c r="S500" s="2" t="s">
        <v>45</v>
      </c>
      <c r="V500" s="2" t="s">
        <v>1170</v>
      </c>
      <c r="W500" s="2">
        <v>2</v>
      </c>
    </row>
    <row r="501" spans="1:23" ht="15.75" customHeight="1" x14ac:dyDescent="0.35">
      <c r="A501" s="2" t="s">
        <v>23</v>
      </c>
      <c r="L501" s="2">
        <v>147</v>
      </c>
      <c r="M501" s="2" t="s">
        <v>265</v>
      </c>
      <c r="O501" s="2" t="s">
        <v>1171</v>
      </c>
      <c r="P501" s="2" t="str">
        <f ca="1">IFERROR(__xludf.DUMMYFUNCTION("GOOGLETRANSLATE(O501,""en"",""bn"")"),"সুব্রত দত্ত")</f>
        <v>সুব্রত দত্ত</v>
      </c>
      <c r="Q501" s="2" t="s">
        <v>41</v>
      </c>
      <c r="S501" s="2" t="s">
        <v>41</v>
      </c>
      <c r="V501" s="2" t="s">
        <v>1172</v>
      </c>
      <c r="W501" s="2">
        <v>2</v>
      </c>
    </row>
    <row r="502" spans="1:23" ht="15.75" customHeight="1" x14ac:dyDescent="0.35">
      <c r="A502" s="2" t="s">
        <v>23</v>
      </c>
      <c r="L502" s="2">
        <v>101</v>
      </c>
      <c r="M502" s="2" t="s">
        <v>154</v>
      </c>
      <c r="O502" s="2" t="s">
        <v>1173</v>
      </c>
      <c r="P502" s="2" t="str">
        <f ca="1">IFERROR(__xludf.DUMMYFUNCTION("GOOGLETRANSLATE(O502,""en"",""bn"")"),"ডাঃ সুময় হীরা")</f>
        <v>ডাঃ সুময় হীরা</v>
      </c>
      <c r="Q502" s="2" t="s">
        <v>34</v>
      </c>
      <c r="S502" s="2" t="s">
        <v>34</v>
      </c>
      <c r="V502" s="2" t="s">
        <v>1174</v>
      </c>
      <c r="W502" s="2">
        <v>2</v>
      </c>
    </row>
    <row r="503" spans="1:23" ht="15.75" customHeight="1" x14ac:dyDescent="0.35">
      <c r="A503" s="2" t="s">
        <v>23</v>
      </c>
      <c r="L503" s="2">
        <v>155</v>
      </c>
      <c r="M503" s="2" t="s">
        <v>262</v>
      </c>
      <c r="O503" s="2" t="s">
        <v>1175</v>
      </c>
      <c r="P503" s="2" t="str">
        <f ca="1">IFERROR(__xludf.DUMMYFUNCTION("GOOGLETRANSLATE(O503,""en"",""bn"")"),"শৈলেশ কুমার")</f>
        <v>শৈলেশ কুমার</v>
      </c>
      <c r="Q503" s="2" t="s">
        <v>49</v>
      </c>
      <c r="S503" s="2" t="s">
        <v>49</v>
      </c>
      <c r="V503" s="2" t="s">
        <v>1176</v>
      </c>
      <c r="W503" s="2">
        <v>2</v>
      </c>
    </row>
    <row r="504" spans="1:23" ht="15.75" customHeight="1" x14ac:dyDescent="0.35">
      <c r="A504" s="2" t="s">
        <v>23</v>
      </c>
      <c r="L504" s="2">
        <v>176</v>
      </c>
      <c r="M504" s="2" t="s">
        <v>139</v>
      </c>
      <c r="O504" s="2" t="s">
        <v>1177</v>
      </c>
      <c r="P504" s="2" t="str">
        <f ca="1">IFERROR(__xludf.DUMMYFUNCTION("GOOGLETRANSLATE(O504,""en"",""bn"")"),"নাসির খান")</f>
        <v>নাসির খান</v>
      </c>
      <c r="Q504" s="2" t="s">
        <v>1047</v>
      </c>
      <c r="S504" s="2" t="s">
        <v>1047</v>
      </c>
      <c r="V504" s="2" t="s">
        <v>1178</v>
      </c>
      <c r="W504" s="2">
        <v>2</v>
      </c>
    </row>
    <row r="505" spans="1:23" ht="15.75" customHeight="1" x14ac:dyDescent="0.35">
      <c r="A505" s="2" t="s">
        <v>23</v>
      </c>
      <c r="L505" s="2">
        <v>270</v>
      </c>
      <c r="M505" s="2" t="s">
        <v>315</v>
      </c>
      <c r="O505" s="2" t="s">
        <v>1179</v>
      </c>
      <c r="P505" s="2" t="str">
        <f ca="1">IFERROR(__xludf.DUMMYFUNCTION("GOOGLETRANSLATE(O505,""en"",""bn"")"),"রবীন্দ্রনাথ চ্যাটার্জী")</f>
        <v>রবীন্দ্রনাথ চ্যাটার্জী</v>
      </c>
      <c r="Q505" s="2" t="s">
        <v>26</v>
      </c>
      <c r="S505" s="2" t="s">
        <v>26</v>
      </c>
      <c r="V505" s="2" t="s">
        <v>1180</v>
      </c>
      <c r="W505" s="2">
        <v>2</v>
      </c>
    </row>
    <row r="506" spans="1:23" ht="15.75" customHeight="1" x14ac:dyDescent="0.35">
      <c r="A506" s="2" t="s">
        <v>23</v>
      </c>
      <c r="L506" s="2">
        <v>141</v>
      </c>
      <c r="M506" s="2" t="s">
        <v>63</v>
      </c>
      <c r="O506" s="2" t="s">
        <v>1181</v>
      </c>
      <c r="P506" s="2" t="str">
        <f ca="1">IFERROR(__xludf.DUMMYFUNCTION("GOOGLETRANSLATE(O506,""en"",""bn"")"),"চন্দন সাহা")</f>
        <v>চন্দন সাহা</v>
      </c>
      <c r="Q506" s="2" t="s">
        <v>45</v>
      </c>
      <c r="S506" s="2" t="s">
        <v>45</v>
      </c>
      <c r="V506" s="2" t="s">
        <v>1182</v>
      </c>
      <c r="W506" s="2">
        <v>2</v>
      </c>
    </row>
    <row r="507" spans="1:23" ht="15.75" customHeight="1" x14ac:dyDescent="0.35">
      <c r="A507" s="2" t="s">
        <v>23</v>
      </c>
      <c r="L507" s="2">
        <v>79</v>
      </c>
      <c r="M507" s="2" t="s">
        <v>103</v>
      </c>
      <c r="O507" s="2" t="s">
        <v>1183</v>
      </c>
      <c r="P507" s="2" t="str">
        <f ca="1">IFERROR(__xludf.DUMMYFUNCTION("GOOGLETRANSLATE(O507,""en"",""bn"")"),"হামিদুল হক")</f>
        <v>হামিদুল হক</v>
      </c>
      <c r="Q507" s="2" t="s">
        <v>41</v>
      </c>
      <c r="S507" s="2" t="s">
        <v>41</v>
      </c>
      <c r="V507" s="2" t="s">
        <v>1184</v>
      </c>
      <c r="W507" s="2">
        <v>2</v>
      </c>
    </row>
    <row r="508" spans="1:23" ht="15.75" customHeight="1" x14ac:dyDescent="0.35">
      <c r="A508" s="2" t="s">
        <v>23</v>
      </c>
      <c r="L508" s="2">
        <v>114</v>
      </c>
      <c r="M508" s="2" t="s">
        <v>303</v>
      </c>
      <c r="O508" s="2" t="s">
        <v>1185</v>
      </c>
      <c r="P508" s="2" t="str">
        <f ca="1">IFERROR(__xludf.DUMMYFUNCTION("GOOGLETRANSLATE(O508,""en"",""bn"")"),"সুব্রত কুমার মজুমদার")</f>
        <v>সুব্রত কুমার মজুমদার</v>
      </c>
      <c r="Q508" s="2" t="s">
        <v>49</v>
      </c>
      <c r="S508" s="2" t="s">
        <v>49</v>
      </c>
      <c r="V508" s="2" t="s">
        <v>1186</v>
      </c>
      <c r="W508" s="2">
        <v>2</v>
      </c>
    </row>
    <row r="509" spans="1:23" ht="15.75" customHeight="1" x14ac:dyDescent="0.35">
      <c r="A509" s="2" t="s">
        <v>23</v>
      </c>
      <c r="L509" s="2">
        <v>133</v>
      </c>
      <c r="M509" s="2" t="s">
        <v>384</v>
      </c>
      <c r="O509" s="2" t="s">
        <v>1187</v>
      </c>
      <c r="P509" s="2" t="str">
        <f ca="1">IFERROR(__xludf.DUMMYFUNCTION("GOOGLETRANSLATE(O509,""en"",""bn"")"),"মোশারফ মন্ডল")</f>
        <v>মোশারফ মন্ডল</v>
      </c>
      <c r="Q509" s="2" t="s">
        <v>49</v>
      </c>
      <c r="S509" s="2" t="s">
        <v>49</v>
      </c>
      <c r="V509" s="2" t="s">
        <v>1188</v>
      </c>
      <c r="W509" s="2">
        <v>2</v>
      </c>
    </row>
    <row r="510" spans="1:23" ht="15.75" customHeight="1" x14ac:dyDescent="0.35">
      <c r="A510" s="2" t="s">
        <v>23</v>
      </c>
      <c r="L510" s="2">
        <v>268</v>
      </c>
      <c r="M510" s="2" t="s">
        <v>286</v>
      </c>
      <c r="O510" s="2" t="s">
        <v>1189</v>
      </c>
      <c r="P510" s="2" t="str">
        <f ca="1">IFERROR(__xludf.DUMMYFUNCTION("GOOGLETRANSLATE(O510,""en"",""bn"")"),"স্বপন দেবনাথ")</f>
        <v>স্বপন দেবনাথ</v>
      </c>
      <c r="Q510" s="2" t="s">
        <v>26</v>
      </c>
      <c r="S510" s="2" t="s">
        <v>26</v>
      </c>
      <c r="V510" s="2" t="s">
        <v>1190</v>
      </c>
      <c r="W510" s="2">
        <v>2</v>
      </c>
    </row>
    <row r="511" spans="1:23" ht="15.75" customHeight="1" x14ac:dyDescent="0.35">
      <c r="A511" s="2" t="s">
        <v>23</v>
      </c>
      <c r="L511" s="2">
        <v>115</v>
      </c>
      <c r="M511" s="2" t="s">
        <v>84</v>
      </c>
      <c r="O511" s="2" t="s">
        <v>1191</v>
      </c>
      <c r="P511" s="2" t="str">
        <f ca="1">IFERROR(__xludf.DUMMYFUNCTION("GOOGLETRANSLATE(O511,""en"",""bn"")"),"তাপস চ্যাটার্জি")</f>
        <v>তাপস চ্যাটার্জি</v>
      </c>
      <c r="Q511" s="2" t="s">
        <v>26</v>
      </c>
      <c r="S511" s="2" t="s">
        <v>26</v>
      </c>
      <c r="V511" s="2" t="s">
        <v>1192</v>
      </c>
      <c r="W511" s="2">
        <v>2</v>
      </c>
    </row>
    <row r="512" spans="1:23" ht="15.75" customHeight="1" x14ac:dyDescent="0.35">
      <c r="A512" s="2" t="s">
        <v>23</v>
      </c>
      <c r="L512" s="2">
        <v>82</v>
      </c>
      <c r="M512" s="2" t="s">
        <v>375</v>
      </c>
      <c r="O512" s="2" t="s">
        <v>1193</v>
      </c>
      <c r="P512" s="2" t="str">
        <f ca="1">IFERROR(__xludf.DUMMYFUNCTION("GOOGLETRANSLATE(O512,""en"",""bn"")"),"সাইকাত সরকার")</f>
        <v>সাইকাত সরকার</v>
      </c>
      <c r="Q512" s="2" t="s">
        <v>34</v>
      </c>
      <c r="S512" s="2" t="s">
        <v>34</v>
      </c>
      <c r="V512" s="2" t="s">
        <v>1194</v>
      </c>
      <c r="W512" s="2">
        <v>2</v>
      </c>
    </row>
    <row r="513" spans="1:23" ht="15.75" customHeight="1" x14ac:dyDescent="0.35">
      <c r="A513" s="2" t="s">
        <v>23</v>
      </c>
      <c r="L513" s="2">
        <v>185</v>
      </c>
      <c r="M513" s="2" t="s">
        <v>241</v>
      </c>
      <c r="O513" s="2" t="s">
        <v>1195</v>
      </c>
      <c r="P513" s="2" t="str">
        <f ca="1">IFERROR(__xludf.DUMMYFUNCTION("GOOGLETRANSLATE(O513,""en"",""bn"")"),"সুব্রত মুখোপাধ্যায়")</f>
        <v>সুব্রত মুখোপাধ্যায়</v>
      </c>
      <c r="Q513" s="2" t="s">
        <v>41</v>
      </c>
      <c r="S513" s="2" t="s">
        <v>41</v>
      </c>
      <c r="V513" s="2" t="s">
        <v>1196</v>
      </c>
      <c r="W513" s="2">
        <v>2</v>
      </c>
    </row>
    <row r="514" spans="1:23" ht="15.75" customHeight="1" x14ac:dyDescent="0.35">
      <c r="A514" s="2" t="s">
        <v>23</v>
      </c>
      <c r="L514" s="2">
        <v>117</v>
      </c>
      <c r="M514" s="2" t="s">
        <v>277</v>
      </c>
      <c r="O514" s="2" t="s">
        <v>1197</v>
      </c>
      <c r="P514" s="2" t="str">
        <f ca="1">IFERROR(__xludf.DUMMYFUNCTION("GOOGLETRANSLATE(O514,""en"",""bn"")"),"শুভজিৎ দাসগুপ্ত")</f>
        <v>শুভজিৎ দাসগুপ্ত</v>
      </c>
      <c r="Q514" s="2" t="s">
        <v>45</v>
      </c>
      <c r="S514" s="2" t="s">
        <v>45</v>
      </c>
      <c r="V514" s="2" t="s">
        <v>1198</v>
      </c>
      <c r="W514" s="2">
        <v>2</v>
      </c>
    </row>
    <row r="515" spans="1:23" ht="15.75" customHeight="1" x14ac:dyDescent="0.35">
      <c r="A515" s="2" t="s">
        <v>23</v>
      </c>
      <c r="L515" s="2">
        <v>91</v>
      </c>
      <c r="M515" s="2" t="s">
        <v>211</v>
      </c>
      <c r="O515" s="2" t="s">
        <v>1199</v>
      </c>
      <c r="P515" s="2" t="str">
        <f ca="1">IFERROR(__xludf.DUMMYFUNCTION("GOOGLETRANSLATE(O515,""en"",""bn"")"),"শুভঙ্কর সিংহ (যিশু)")</f>
        <v>শুভঙ্কর সিংহ (যিশু)</v>
      </c>
      <c r="Q515" s="2" t="s">
        <v>26</v>
      </c>
      <c r="S515" s="2" t="s">
        <v>26</v>
      </c>
      <c r="V515" s="2" t="s">
        <v>1200</v>
      </c>
      <c r="W515" s="2">
        <v>2</v>
      </c>
    </row>
    <row r="516" spans="1:23" ht="15.75" customHeight="1" x14ac:dyDescent="0.35">
      <c r="A516" s="2" t="s">
        <v>23</v>
      </c>
      <c r="L516" s="2">
        <v>152</v>
      </c>
      <c r="M516" s="2" t="s">
        <v>450</v>
      </c>
      <c r="O516" s="2" t="s">
        <v>1201</v>
      </c>
      <c r="P516" s="2" t="str">
        <f ca="1">IFERROR(__xludf.DUMMYFUNCTION("GOOGLETRANSLATE(O516,""en"",""bn"")"),"পার্থ প্রতিম বিশ্বাস")</f>
        <v>পার্থ প্রতিম বিশ্বাস</v>
      </c>
      <c r="Q516" s="2" t="s">
        <v>45</v>
      </c>
      <c r="S516" s="2" t="s">
        <v>45</v>
      </c>
      <c r="V516" s="2" t="s">
        <v>1202</v>
      </c>
      <c r="W516" s="2">
        <v>2</v>
      </c>
    </row>
    <row r="517" spans="1:23" ht="15.75" customHeight="1" x14ac:dyDescent="0.35">
      <c r="A517" s="2" t="s">
        <v>23</v>
      </c>
      <c r="L517" s="2">
        <v>269</v>
      </c>
      <c r="M517" s="2" t="s">
        <v>378</v>
      </c>
      <c r="O517" s="2" t="s">
        <v>1203</v>
      </c>
      <c r="P517" s="2" t="str">
        <f ca="1">IFERROR(__xludf.DUMMYFUNCTION("GOOGLETRANSLATE(O517,""en"",""bn"")"),"বসুন্ধরা গোস্বামী")</f>
        <v>বসুন্ধরা গোস্বামী</v>
      </c>
      <c r="Q517" s="2" t="s">
        <v>26</v>
      </c>
      <c r="S517" s="2" t="s">
        <v>26</v>
      </c>
      <c r="V517" s="2" t="s">
        <v>1204</v>
      </c>
      <c r="W517" s="2">
        <v>2</v>
      </c>
    </row>
    <row r="518" spans="1:23" ht="15.75" customHeight="1" x14ac:dyDescent="0.35">
      <c r="A518" s="2" t="s">
        <v>23</v>
      </c>
      <c r="L518" s="2">
        <v>137</v>
      </c>
      <c r="M518" s="2" t="s">
        <v>372</v>
      </c>
      <c r="O518" s="2" t="s">
        <v>1205</v>
      </c>
      <c r="P518" s="2" t="str">
        <f ca="1">IFERROR(__xludf.DUMMYFUNCTION("GOOGLETRANSLATE(O518,""en"",""bn"")"),"বিভাস সর্দার")</f>
        <v>বিভাস সর্দার</v>
      </c>
      <c r="Q518" s="2" t="s">
        <v>26</v>
      </c>
      <c r="S518" s="2" t="s">
        <v>26</v>
      </c>
      <c r="V518" s="2" t="s">
        <v>1206</v>
      </c>
      <c r="W518" s="2">
        <v>2</v>
      </c>
    </row>
    <row r="519" spans="1:23" ht="15.75" customHeight="1" x14ac:dyDescent="0.35">
      <c r="A519" s="2" t="s">
        <v>23</v>
      </c>
      <c r="L519" s="2">
        <v>163</v>
      </c>
      <c r="M519" s="2" t="s">
        <v>363</v>
      </c>
      <c r="O519" s="2" t="s">
        <v>1207</v>
      </c>
      <c r="P519" s="2" t="str">
        <f ca="1">IFERROR(__xludf.DUMMYFUNCTION("GOOGLETRANSLATE(O519,""en"",""bn"")"),"সন্দীপন সাহা")</f>
        <v>সন্দীপন সাহা</v>
      </c>
      <c r="Q519" s="2" t="s">
        <v>26</v>
      </c>
      <c r="S519" s="2" t="s">
        <v>26</v>
      </c>
      <c r="V519" s="2" t="s">
        <v>1208</v>
      </c>
      <c r="W519" s="2">
        <v>2</v>
      </c>
    </row>
    <row r="520" spans="1:23" ht="15.75" customHeight="1" x14ac:dyDescent="0.35">
      <c r="A520" s="2" t="s">
        <v>23</v>
      </c>
      <c r="L520" s="2">
        <v>180</v>
      </c>
      <c r="M520" s="2" t="s">
        <v>324</v>
      </c>
      <c r="O520" s="2" t="s">
        <v>1209</v>
      </c>
      <c r="P520" s="2" t="str">
        <f ca="1">IFERROR(__xludf.DUMMYFUNCTION("GOOGLETRANSLATE(O520,""en"",""bn"")"),"এসকে হাফিজুর রহমান")</f>
        <v>এসকে হাফিজুর রহমান</v>
      </c>
      <c r="Q520" s="2" t="s">
        <v>41</v>
      </c>
      <c r="S520" s="2" t="s">
        <v>41</v>
      </c>
      <c r="V520" s="2" t="s">
        <v>1210</v>
      </c>
      <c r="W520" s="2">
        <v>2</v>
      </c>
    </row>
    <row r="521" spans="1:23" ht="15.75" customHeight="1" x14ac:dyDescent="0.35">
      <c r="A521" s="2" t="s">
        <v>23</v>
      </c>
      <c r="L521" s="2">
        <v>183</v>
      </c>
      <c r="M521" s="2" t="s">
        <v>295</v>
      </c>
      <c r="O521" s="2" t="s">
        <v>1211</v>
      </c>
      <c r="P521" s="2" t="str">
        <f ca="1">IFERROR(__xludf.DUMMYFUNCTION("GOOGLETRANSLATE(O521,""en"",""bn"")"),"নাজিরা খাতুন")</f>
        <v>নাজিরা খাতুন</v>
      </c>
      <c r="Q521" s="2" t="s">
        <v>1047</v>
      </c>
      <c r="S521" s="2" t="s">
        <v>1047</v>
      </c>
      <c r="V521" s="2" t="s">
        <v>1212</v>
      </c>
      <c r="W521" s="2">
        <v>2</v>
      </c>
    </row>
    <row r="522" spans="1:23" ht="15.75" customHeight="1" x14ac:dyDescent="0.35">
      <c r="A522" s="2" t="s">
        <v>23</v>
      </c>
      <c r="L522" s="2">
        <v>99</v>
      </c>
      <c r="M522" s="2" t="s">
        <v>268</v>
      </c>
      <c r="O522" s="2" t="s">
        <v>1213</v>
      </c>
      <c r="P522" s="2" t="str">
        <f ca="1">IFERROR(__xludf.DUMMYFUNCTION("GOOGLETRANSLATE(O522,""en"",""bn"")"),"সুকৃতি কুমার সরকার")</f>
        <v>সুকৃতি কুমার সরকার</v>
      </c>
      <c r="Q522" s="2" t="s">
        <v>34</v>
      </c>
      <c r="S522" s="2" t="s">
        <v>34</v>
      </c>
      <c r="V522" s="2" t="s">
        <v>1214</v>
      </c>
      <c r="W522" s="2">
        <v>2</v>
      </c>
    </row>
    <row r="523" spans="1:23" ht="15.75" customHeight="1" x14ac:dyDescent="0.35">
      <c r="A523" s="2" t="s">
        <v>23</v>
      </c>
      <c r="L523" s="2">
        <v>98</v>
      </c>
      <c r="M523" s="2" t="s">
        <v>115</v>
      </c>
      <c r="O523" s="2" t="s">
        <v>1215</v>
      </c>
      <c r="P523" s="2" t="str">
        <f ca="1">IFERROR(__xludf.DUMMYFUNCTION("GOOGLETRANSLATE(O523,""en"",""bn"")"),"রিতেশ মন্ডল")</f>
        <v>রিতেশ মন্ডল</v>
      </c>
      <c r="Q523" s="2" t="s">
        <v>41</v>
      </c>
      <c r="S523" s="2" t="s">
        <v>41</v>
      </c>
      <c r="V523" s="2" t="s">
        <v>1216</v>
      </c>
      <c r="W523" s="2">
        <v>2</v>
      </c>
    </row>
    <row r="524" spans="1:23" ht="15.75" customHeight="1" x14ac:dyDescent="0.35">
      <c r="A524" s="2" t="s">
        <v>23</v>
      </c>
      <c r="L524" s="2">
        <v>126</v>
      </c>
      <c r="M524" s="2" t="s">
        <v>133</v>
      </c>
      <c r="O524" s="2" t="s">
        <v>1217</v>
      </c>
      <c r="P524" s="2" t="str">
        <f ca="1">IFERROR(__xludf.DUMMYFUNCTION("GOOGLETRANSLATE(O524,""en"",""bn"")"),"সঙ্গীত মন্ডল")</f>
        <v>সঙ্গীত মন্ডল</v>
      </c>
      <c r="Q524" s="2" t="s">
        <v>1218</v>
      </c>
      <c r="S524" s="2" t="s">
        <v>1218</v>
      </c>
      <c r="V524" s="2" t="s">
        <v>1219</v>
      </c>
      <c r="W524" s="2">
        <v>2</v>
      </c>
    </row>
    <row r="525" spans="1:23" ht="15.75" customHeight="1" x14ac:dyDescent="0.35">
      <c r="A525" s="2" t="s">
        <v>23</v>
      </c>
      <c r="L525" s="2">
        <v>186</v>
      </c>
      <c r="M525" s="2" t="s">
        <v>250</v>
      </c>
      <c r="O525" s="2" t="s">
        <v>1220</v>
      </c>
      <c r="P525" s="2" t="str">
        <f ca="1">IFERROR(__xludf.DUMMYFUNCTION("GOOGLETRANSLATE(O525,""en"",""bn"")"),"শুভঙ্কর সরকার")</f>
        <v>শুভঙ্কর সরকার</v>
      </c>
      <c r="Q525" s="2" t="s">
        <v>41</v>
      </c>
      <c r="S525" s="2" t="s">
        <v>41</v>
      </c>
      <c r="V525" s="2" t="s">
        <v>1221</v>
      </c>
      <c r="W525" s="2">
        <v>2</v>
      </c>
    </row>
    <row r="526" spans="1:23" ht="15.75" customHeight="1" x14ac:dyDescent="0.35">
      <c r="A526" s="2" t="s">
        <v>23</v>
      </c>
      <c r="L526" s="2">
        <v>177</v>
      </c>
      <c r="M526" s="2" t="s">
        <v>66</v>
      </c>
      <c r="O526" s="2" t="s">
        <v>1222</v>
      </c>
      <c r="P526" s="2" t="str">
        <f ca="1">IFERROR(__xludf.DUMMYFUNCTION("GOOGLETRANSLATE(O526,""en"",""bn"")"),"বিমল কুমার দাস")</f>
        <v>বিমল কুমার দাস</v>
      </c>
      <c r="Q526" s="2" t="s">
        <v>26</v>
      </c>
      <c r="S526" s="2" t="s">
        <v>26</v>
      </c>
      <c r="V526" s="2" t="s">
        <v>1223</v>
      </c>
      <c r="W526" s="2">
        <v>2</v>
      </c>
    </row>
    <row r="527" spans="1:23" ht="15.75" customHeight="1" x14ac:dyDescent="0.35">
      <c r="A527" s="2" t="s">
        <v>23</v>
      </c>
      <c r="L527" s="2">
        <v>168</v>
      </c>
      <c r="M527" s="2" t="s">
        <v>100</v>
      </c>
      <c r="O527" s="2" t="s">
        <v>1224</v>
      </c>
      <c r="P527" s="2" t="str">
        <f ca="1">IFERROR(__xludf.DUMMYFUNCTION("GOOGLETRANSLATE(O527,""en"",""bn"")"),"রিতেশ তিওয়ারি")</f>
        <v>রিতেশ তিওয়ারি</v>
      </c>
      <c r="Q527" s="2" t="s">
        <v>34</v>
      </c>
      <c r="S527" s="2" t="s">
        <v>34</v>
      </c>
      <c r="V527" s="2" t="s">
        <v>1225</v>
      </c>
      <c r="W527" s="2">
        <v>2</v>
      </c>
    </row>
    <row r="528" spans="1:23" ht="15.75" customHeight="1" x14ac:dyDescent="0.35">
      <c r="A528" s="2" t="s">
        <v>23</v>
      </c>
      <c r="L528" s="2">
        <v>199</v>
      </c>
      <c r="M528" s="2" t="s">
        <v>244</v>
      </c>
      <c r="O528" s="2" t="s">
        <v>1226</v>
      </c>
      <c r="P528" s="2" t="str">
        <f ca="1">IFERROR(__xludf.DUMMYFUNCTION("GOOGLETRANSLATE(O528,""en"",""bn"")"),"হাবিবার রহমান এসকে")</f>
        <v>হাবিবার রহমান এসকে</v>
      </c>
      <c r="Q528" s="2" t="s">
        <v>41</v>
      </c>
      <c r="S528" s="2" t="s">
        <v>41</v>
      </c>
      <c r="V528" s="2" t="s">
        <v>1227</v>
      </c>
      <c r="W528" s="2">
        <v>2</v>
      </c>
    </row>
    <row r="529" spans="1:23" ht="15.75" customHeight="1" x14ac:dyDescent="0.35">
      <c r="A529" s="2" t="s">
        <v>23</v>
      </c>
      <c r="L529" s="2">
        <v>104</v>
      </c>
      <c r="M529" s="2" t="s">
        <v>396</v>
      </c>
      <c r="O529" s="2" t="s">
        <v>1228</v>
      </c>
      <c r="P529" s="2" t="str">
        <f ca="1">IFERROR(__xludf.DUMMYFUNCTION("GOOGLETRANSLATE(O529,""en"",""bn"")"),"সুমিত্র চ্যাটার্জি")</f>
        <v>সুমিত্র চ্যাটার্জি</v>
      </c>
      <c r="Q529" s="2" t="s">
        <v>34</v>
      </c>
      <c r="S529" s="2" t="s">
        <v>34</v>
      </c>
      <c r="V529" s="2" t="s">
        <v>1229</v>
      </c>
      <c r="W529" s="2">
        <v>2</v>
      </c>
    </row>
    <row r="530" spans="1:23" ht="15.75" customHeight="1" x14ac:dyDescent="0.35">
      <c r="A530" s="2" t="s">
        <v>23</v>
      </c>
      <c r="L530" s="2">
        <v>196</v>
      </c>
      <c r="M530" s="2" t="s">
        <v>148</v>
      </c>
      <c r="O530" s="2" t="s">
        <v>1230</v>
      </c>
      <c r="P530" s="2" t="str">
        <f ca="1">IFERROR(__xludf.DUMMYFUNCTION("GOOGLETRANSLATE(O530,""en"",""bn"")"),"সুবীর কুমার রায়")</f>
        <v>সুবীর কুমার রায়</v>
      </c>
      <c r="Q530" s="2" t="s">
        <v>49</v>
      </c>
      <c r="S530" s="2" t="s">
        <v>49</v>
      </c>
      <c r="V530" s="2" t="s">
        <v>1231</v>
      </c>
      <c r="W530" s="2">
        <v>2</v>
      </c>
    </row>
    <row r="531" spans="1:23" ht="15.75" customHeight="1" x14ac:dyDescent="0.35">
      <c r="A531" s="2" t="s">
        <v>23</v>
      </c>
      <c r="L531" s="2">
        <v>200</v>
      </c>
      <c r="M531" s="2" t="s">
        <v>151</v>
      </c>
      <c r="O531" s="2" t="s">
        <v>1232</v>
      </c>
      <c r="P531" s="2" t="str">
        <f ca="1">IFERROR(__xludf.DUMMYFUNCTION("GOOGLETRANSLATE(O531,""en"",""bn"")"),"বিথিকা পণ্ডিত")</f>
        <v>বিথিকা পণ্ডিত</v>
      </c>
      <c r="Q531" s="2" t="s">
        <v>45</v>
      </c>
      <c r="S531" s="2" t="s">
        <v>45</v>
      </c>
      <c r="V531" s="2" t="s">
        <v>1233</v>
      </c>
      <c r="W531" s="2">
        <v>2</v>
      </c>
    </row>
    <row r="532" spans="1:23" ht="15.75" customHeight="1" x14ac:dyDescent="0.35">
      <c r="A532" s="2" t="s">
        <v>23</v>
      </c>
      <c r="L532" s="2">
        <v>265</v>
      </c>
      <c r="M532" s="2" t="s">
        <v>420</v>
      </c>
      <c r="O532" s="2" t="s">
        <v>1234</v>
      </c>
      <c r="P532" s="2" t="str">
        <f ca="1">IFERROR(__xludf.DUMMYFUNCTION("GOOGLETRANSLATE(O532,""en"",""bn"")"),"মানব গুহ")</f>
        <v>মানব গুহ</v>
      </c>
      <c r="Q532" s="2" t="s">
        <v>34</v>
      </c>
      <c r="S532" s="2" t="s">
        <v>34</v>
      </c>
      <c r="V532" s="2" t="s">
        <v>1235</v>
      </c>
      <c r="W532" s="2">
        <v>2</v>
      </c>
    </row>
    <row r="533" spans="1:23" ht="15.75" customHeight="1" x14ac:dyDescent="0.35">
      <c r="A533" s="2" t="s">
        <v>23</v>
      </c>
      <c r="L533" s="2">
        <v>77</v>
      </c>
      <c r="M533" s="2" t="s">
        <v>202</v>
      </c>
      <c r="O533" s="2" t="s">
        <v>1236</v>
      </c>
      <c r="P533" s="2" t="str">
        <f ca="1">IFERROR(__xludf.DUMMYFUNCTION("GOOGLETRANSLATE(O533,""en"",""bn"")"),"সমরেন্দ্রনাথ ঘোষ")</f>
        <v>সমরেন্দ্রনাথ ঘোষ</v>
      </c>
      <c r="Q533" s="2" t="s">
        <v>34</v>
      </c>
      <c r="S533" s="2" t="s">
        <v>34</v>
      </c>
      <c r="V533" s="2" t="s">
        <v>1237</v>
      </c>
      <c r="W533" s="2">
        <v>2</v>
      </c>
    </row>
    <row r="534" spans="1:23" ht="15.75" customHeight="1" x14ac:dyDescent="0.35">
      <c r="A534" s="2" t="s">
        <v>23</v>
      </c>
      <c r="L534" s="2">
        <v>118</v>
      </c>
      <c r="M534" s="2" t="s">
        <v>121</v>
      </c>
      <c r="O534" s="2" t="s">
        <v>1238</v>
      </c>
      <c r="P534" s="2" t="str">
        <f ca="1">IFERROR(__xludf.DUMMYFUNCTION("GOOGLETRANSLATE(O534,""en"",""bn"")"),"মনোজ কুমার রায়")</f>
        <v>মনোজ কুমার রায়</v>
      </c>
      <c r="Q534" s="2" t="s">
        <v>49</v>
      </c>
      <c r="S534" s="2" t="s">
        <v>49</v>
      </c>
      <c r="V534" s="2" t="s">
        <v>1239</v>
      </c>
      <c r="W534" s="2">
        <v>2</v>
      </c>
    </row>
    <row r="535" spans="1:23" ht="15.75" customHeight="1" x14ac:dyDescent="0.35">
      <c r="A535" s="2" t="s">
        <v>23</v>
      </c>
      <c r="L535" s="2">
        <v>90</v>
      </c>
      <c r="M535" s="2" t="s">
        <v>280</v>
      </c>
      <c r="O535" s="2" t="s">
        <v>1240</v>
      </c>
      <c r="P535" s="2" t="str">
        <f ca="1">IFERROR(__xludf.DUMMYFUNCTION("GOOGLETRANSLATE(O535,""en"",""bn"")"),"রিতা পল দাস")</f>
        <v>রিতা পল দাস</v>
      </c>
      <c r="Q535" s="2" t="s">
        <v>41</v>
      </c>
      <c r="S535" s="2" t="s">
        <v>41</v>
      </c>
      <c r="V535" s="2" t="s">
        <v>1241</v>
      </c>
      <c r="W535" s="2">
        <v>2</v>
      </c>
    </row>
    <row r="536" spans="1:23" ht="15.75" customHeight="1" x14ac:dyDescent="0.35">
      <c r="A536" s="2" t="s">
        <v>23</v>
      </c>
      <c r="L536" s="2">
        <v>264</v>
      </c>
      <c r="M536" s="2" t="s">
        <v>393</v>
      </c>
      <c r="O536" s="2" t="s">
        <v>1242</v>
      </c>
      <c r="P536" s="2" t="str">
        <f ca="1">IFERROR(__xludf.DUMMYFUNCTION("GOOGLETRANSLATE(O536,""en"",""bn"")"),"সিদ্ধার্থ মজুমদার")</f>
        <v>সিদ্ধার্থ মজুমদার</v>
      </c>
      <c r="Q536" s="2" t="s">
        <v>34</v>
      </c>
      <c r="S536" s="2" t="s">
        <v>34</v>
      </c>
      <c r="V536" s="2" t="s">
        <v>1243</v>
      </c>
      <c r="W536" s="2">
        <v>2</v>
      </c>
    </row>
    <row r="537" spans="1:23" ht="15.75" customHeight="1" x14ac:dyDescent="0.35">
      <c r="A537" s="2" t="s">
        <v>23</v>
      </c>
      <c r="L537" s="2">
        <v>94</v>
      </c>
      <c r="M537" s="2" t="s">
        <v>253</v>
      </c>
      <c r="O537" s="2" t="s">
        <v>1244</v>
      </c>
      <c r="P537" s="2" t="str">
        <f ca="1">IFERROR(__xludf.DUMMYFUNCTION("GOOGLETRANSLATE(O537,""en"",""bn"")"),"মধুপর্ণা ঠাকুর")</f>
        <v>মধুপর্ণা ঠাকুর</v>
      </c>
      <c r="Q537" s="2" t="s">
        <v>26</v>
      </c>
      <c r="S537" s="2" t="s">
        <v>26</v>
      </c>
      <c r="V537" s="2" t="s">
        <v>1245</v>
      </c>
      <c r="W537" s="2">
        <v>2</v>
      </c>
    </row>
    <row r="538" spans="1:23" ht="15.75" customHeight="1" x14ac:dyDescent="0.35">
      <c r="A538" s="2" t="s">
        <v>23</v>
      </c>
      <c r="L538" s="2">
        <v>164</v>
      </c>
      <c r="M538" s="2" t="s">
        <v>402</v>
      </c>
      <c r="O538" s="2" t="s">
        <v>1246</v>
      </c>
      <c r="P538" s="2" t="str">
        <f ca="1">IFERROR(__xludf.DUMMYFUNCTION("GOOGLETRANSLATE(O538,""en"",""bn"")"),"শাহিনা জাভেদ")</f>
        <v>শাহিনা জাভেদ</v>
      </c>
      <c r="Q538" s="2" t="s">
        <v>41</v>
      </c>
      <c r="S538" s="2" t="s">
        <v>41</v>
      </c>
      <c r="V538" s="2" t="s">
        <v>1247</v>
      </c>
      <c r="W538" s="2">
        <v>2</v>
      </c>
    </row>
    <row r="539" spans="1:23" ht="15.75" customHeight="1" x14ac:dyDescent="0.35">
      <c r="A539" s="2" t="s">
        <v>23</v>
      </c>
      <c r="L539" s="2">
        <v>160</v>
      </c>
      <c r="M539" s="2" t="s">
        <v>72</v>
      </c>
      <c r="O539" s="2" t="s">
        <v>1248</v>
      </c>
      <c r="P539" s="2" t="str">
        <f ca="1">IFERROR(__xludf.DUMMYFUNCTION("GOOGLETRANSLATE(O539,""en"",""bn"")"),"দিলীপ চন্দ্র হালদার")</f>
        <v>দিলীপ চন্দ্র হালদার</v>
      </c>
      <c r="Q539" s="2" t="s">
        <v>92</v>
      </c>
      <c r="S539" s="2" t="s">
        <v>92</v>
      </c>
      <c r="V539" s="2" t="s">
        <v>1249</v>
      </c>
      <c r="W539" s="2">
        <v>2</v>
      </c>
    </row>
    <row r="540" spans="1:23" ht="15.75" customHeight="1" x14ac:dyDescent="0.35">
      <c r="A540" s="2" t="s">
        <v>23</v>
      </c>
      <c r="L540" s="2">
        <v>194</v>
      </c>
      <c r="M540" s="2" t="s">
        <v>205</v>
      </c>
      <c r="O540" s="2" t="s">
        <v>1250</v>
      </c>
      <c r="P540" s="2" t="str">
        <f ca="1">IFERROR(__xludf.DUMMYFUNCTION("GOOGLETRANSLATE(O540,""en"",""bn"")"),"স্বাতী খান্ডোকার")</f>
        <v>স্বাতী খান্ডোকার</v>
      </c>
      <c r="Q540" s="2" t="s">
        <v>26</v>
      </c>
      <c r="S540" s="2" t="s">
        <v>26</v>
      </c>
      <c r="V540" s="2" t="s">
        <v>1251</v>
      </c>
      <c r="W540" s="2">
        <v>2</v>
      </c>
    </row>
    <row r="541" spans="1:23" ht="15.75" customHeight="1" x14ac:dyDescent="0.35">
      <c r="A541" s="2" t="s">
        <v>23</v>
      </c>
      <c r="L541" s="2">
        <v>144</v>
      </c>
      <c r="M541" s="2" t="s">
        <v>178</v>
      </c>
      <c r="O541" s="2" t="s">
        <v>1252</v>
      </c>
      <c r="P541" s="2" t="str">
        <f ca="1">IFERROR(__xludf.DUMMYFUNCTION("GOOGLETRANSLATE(O541,""en"",""bn"")"),"শম্ভুনাথ কুর্মি")</f>
        <v>শম্ভুনাথ কুর্মি</v>
      </c>
      <c r="Q541" s="2" t="s">
        <v>45</v>
      </c>
      <c r="S541" s="2" t="s">
        <v>45</v>
      </c>
      <c r="V541" s="2" t="s">
        <v>1253</v>
      </c>
      <c r="W541" s="2">
        <v>2</v>
      </c>
    </row>
    <row r="542" spans="1:23" ht="15.75" customHeight="1" x14ac:dyDescent="0.35">
      <c r="A542" s="2" t="s">
        <v>23</v>
      </c>
      <c r="L542" s="2">
        <v>83</v>
      </c>
      <c r="M542" s="2" t="s">
        <v>354</v>
      </c>
      <c r="O542" s="2" t="s">
        <v>1254</v>
      </c>
      <c r="P542" s="2" t="str">
        <f ca="1">IFERROR(__xludf.DUMMYFUNCTION("GOOGLETRANSLATE(O542,""en"",""bn"")"),"বিধান হালদার")</f>
        <v>বিধান হালদার</v>
      </c>
      <c r="Q542" s="2" t="s">
        <v>49</v>
      </c>
      <c r="S542" s="2" t="s">
        <v>49</v>
      </c>
      <c r="V542" s="2" t="s">
        <v>1255</v>
      </c>
      <c r="W542" s="2">
        <v>2</v>
      </c>
    </row>
    <row r="543" spans="1:23" ht="15.75" customHeight="1" x14ac:dyDescent="0.35">
      <c r="A543" s="2" t="s">
        <v>23</v>
      </c>
      <c r="L543" s="2">
        <v>113</v>
      </c>
      <c r="M543" s="2" t="s">
        <v>399</v>
      </c>
      <c r="O543" s="2" t="s">
        <v>1256</v>
      </c>
      <c r="P543" s="2" t="str">
        <f ca="1">IFERROR(__xludf.DUMMYFUNCTION("GOOGLETRANSLATE(O543,""en"",""bn"")"),"সায়ন্তিকা ব্যানার্জী")</f>
        <v>সায়ন্তিকা ব্যানার্জী</v>
      </c>
      <c r="Q543" s="2" t="s">
        <v>26</v>
      </c>
      <c r="S543" s="2" t="s">
        <v>26</v>
      </c>
      <c r="V543" s="2" t="s">
        <v>1257</v>
      </c>
      <c r="W543" s="2">
        <v>2</v>
      </c>
    </row>
    <row r="544" spans="1:23" ht="15.75" customHeight="1" x14ac:dyDescent="0.35">
      <c r="A544" s="2" t="s">
        <v>23</v>
      </c>
      <c r="L544" s="2">
        <v>119</v>
      </c>
      <c r="M544" s="2" t="s">
        <v>327</v>
      </c>
      <c r="O544" s="2" t="s">
        <v>1258</v>
      </c>
      <c r="P544" s="2" t="str">
        <f ca="1">IFERROR(__xludf.DUMMYFUNCTION("GOOGLETRANSLATE(O544,""en"",""bn"")"),"সব্যসাচী দত্ত")</f>
        <v>সব্যসাচী দত্ত</v>
      </c>
      <c r="Q544" s="2" t="s">
        <v>26</v>
      </c>
      <c r="S544" s="2" t="s">
        <v>26</v>
      </c>
      <c r="V544" s="2" t="s">
        <v>1259</v>
      </c>
      <c r="W544" s="2">
        <v>2</v>
      </c>
    </row>
    <row r="545" spans="1:23" ht="15.75" customHeight="1" x14ac:dyDescent="0.35">
      <c r="A545" s="2" t="s">
        <v>23</v>
      </c>
      <c r="L545" s="2">
        <v>121</v>
      </c>
      <c r="M545" s="2" t="s">
        <v>348</v>
      </c>
      <c r="O545" s="2" t="s">
        <v>1260</v>
      </c>
      <c r="P545" s="2" t="str">
        <f ca="1">IFERROR(__xludf.DUMMYFUNCTION("GOOGLETRANSLATE(O545,""en"",""bn"")"),"পিয়ারুল ইসলাম")</f>
        <v>পিয়ারুল ইসলাম</v>
      </c>
      <c r="Q545" s="2" t="s">
        <v>1047</v>
      </c>
      <c r="S545" s="2" t="s">
        <v>1047</v>
      </c>
      <c r="V545" s="2" t="s">
        <v>1261</v>
      </c>
      <c r="W545" s="2">
        <v>2</v>
      </c>
    </row>
    <row r="546" spans="1:23" ht="15.75" customHeight="1" x14ac:dyDescent="0.35">
      <c r="A546" s="2" t="s">
        <v>23</v>
      </c>
      <c r="L546" s="2">
        <v>132</v>
      </c>
      <c r="M546" s="2" t="s">
        <v>220</v>
      </c>
      <c r="O546" s="2" t="s">
        <v>1262</v>
      </c>
      <c r="P546" s="2" t="str">
        <f ca="1">IFERROR(__xludf.DUMMYFUNCTION("GOOGLETRANSLATE(O546,""en"",""bn"")"),"সুমন্ত মণ্ডল")</f>
        <v>সুমন্ত মণ্ডল</v>
      </c>
      <c r="Q546" s="2" t="s">
        <v>34</v>
      </c>
      <c r="S546" s="2" t="s">
        <v>34</v>
      </c>
      <c r="V546" s="2" t="s">
        <v>1263</v>
      </c>
      <c r="W546" s="2">
        <v>2</v>
      </c>
    </row>
    <row r="547" spans="1:23" ht="15.75" customHeight="1" x14ac:dyDescent="0.35">
      <c r="A547" s="2" t="s">
        <v>23</v>
      </c>
      <c r="L547" s="2">
        <v>184</v>
      </c>
      <c r="M547" s="2" t="s">
        <v>60</v>
      </c>
      <c r="O547" s="2" t="s">
        <v>1264</v>
      </c>
      <c r="P547" s="2" t="str">
        <f ca="1">IFERROR(__xludf.DUMMYFUNCTION("GOOGLETRANSLATE(O547,""en"",""bn"")"),"দুলু দাস")</f>
        <v>দুলু দাস</v>
      </c>
      <c r="Q547" s="2" t="s">
        <v>45</v>
      </c>
      <c r="S547" s="2" t="s">
        <v>45</v>
      </c>
      <c r="V547" s="2" t="s">
        <v>1265</v>
      </c>
      <c r="W547" s="2">
        <v>2</v>
      </c>
    </row>
    <row r="548" spans="1:23" ht="15.75" customHeight="1" x14ac:dyDescent="0.35">
      <c r="A548" s="2" t="s">
        <v>23</v>
      </c>
      <c r="L548" s="2">
        <v>105</v>
      </c>
      <c r="M548" s="2" t="s">
        <v>342</v>
      </c>
      <c r="O548" s="2" t="s">
        <v>1266</v>
      </c>
      <c r="P548" s="2" t="str">
        <f ca="1">IFERROR(__xludf.DUMMYFUNCTION("GOOGLETRANSLATE(O548,""en"",""bn"")"),"পবন কুমার সিং")</f>
        <v>পবন কুমার সিং</v>
      </c>
      <c r="Q548" s="2" t="s">
        <v>34</v>
      </c>
      <c r="S548" s="2" t="s">
        <v>34</v>
      </c>
      <c r="V548" s="2" t="s">
        <v>1267</v>
      </c>
      <c r="W548" s="2">
        <v>2</v>
      </c>
    </row>
    <row r="549" spans="1:23" ht="15.75" customHeight="1" x14ac:dyDescent="0.35">
      <c r="A549" s="2" t="s">
        <v>23</v>
      </c>
      <c r="L549" s="2">
        <v>165</v>
      </c>
      <c r="M549" s="2" t="s">
        <v>390</v>
      </c>
      <c r="O549" s="2" t="s">
        <v>1268</v>
      </c>
      <c r="P549" s="2" t="str">
        <f ca="1">IFERROR(__xludf.DUMMYFUNCTION("GOOGLETRANSLATE(O549,""en"",""bn"")"),"বিজয় উপাধ্যায়")</f>
        <v>বিজয় উপাধ্যায়</v>
      </c>
      <c r="Q549" s="2" t="s">
        <v>26</v>
      </c>
      <c r="S549" s="2" t="s">
        <v>26</v>
      </c>
      <c r="V549" s="2" t="s">
        <v>1269</v>
      </c>
      <c r="W549" s="2">
        <v>2</v>
      </c>
    </row>
    <row r="550" spans="1:23" ht="15.75" customHeight="1" x14ac:dyDescent="0.35">
      <c r="A550" s="2" t="s">
        <v>23</v>
      </c>
      <c r="L550" s="2">
        <v>191</v>
      </c>
      <c r="M550" s="2" t="s">
        <v>271</v>
      </c>
      <c r="O550" s="2" t="s">
        <v>1270</v>
      </c>
      <c r="P550" s="2" t="str">
        <f ca="1">IFERROR(__xludf.DUMMYFUNCTION("GOOGLETRANSLATE(O550,""en"",""bn"")"),"সুমনা সরকার")</f>
        <v>সুমনা সরকার</v>
      </c>
      <c r="Q550" s="2" t="s">
        <v>34</v>
      </c>
      <c r="S550" s="2" t="s">
        <v>34</v>
      </c>
      <c r="V550" s="2" t="s">
        <v>1271</v>
      </c>
      <c r="W550" s="2">
        <v>2</v>
      </c>
    </row>
    <row r="551" spans="1:23" ht="15.75" customHeight="1" x14ac:dyDescent="0.35">
      <c r="A551" s="2" t="s">
        <v>23</v>
      </c>
      <c r="L551" s="2">
        <v>143</v>
      </c>
      <c r="M551" s="2" t="s">
        <v>163</v>
      </c>
      <c r="O551" s="2" t="s">
        <v>1272</v>
      </c>
      <c r="P551" s="2" t="str">
        <f ca="1">IFERROR(__xludf.DUMMYFUNCTION("GOOGLETRANSLATE(O551,""en"",""bn"")"),"বিকাশ চন্দ্র মন্ডল")</f>
        <v>বিকাশ চন্দ্র মন্ডল</v>
      </c>
      <c r="Q551" s="2" t="s">
        <v>49</v>
      </c>
      <c r="S551" s="2" t="s">
        <v>49</v>
      </c>
      <c r="V551" s="2" t="s">
        <v>1273</v>
      </c>
      <c r="W551" s="2">
        <v>2</v>
      </c>
    </row>
    <row r="552" spans="1:23" ht="15.75" customHeight="1" x14ac:dyDescent="0.35">
      <c r="A552" s="2" t="s">
        <v>23</v>
      </c>
      <c r="L552" s="2">
        <v>134</v>
      </c>
      <c r="M552" s="2" t="s">
        <v>274</v>
      </c>
      <c r="O552" s="2" t="s">
        <v>1274</v>
      </c>
      <c r="P552" s="2" t="str">
        <f ca="1">IFERROR(__xludf.DUMMYFUNCTION("GOOGLETRANSLATE(O552,""en"",""bn"")"),"সাম্যা গাঙ্গুলী")</f>
        <v>সাম্যা গাঙ্গুলী</v>
      </c>
      <c r="Q552" s="2" t="s">
        <v>45</v>
      </c>
      <c r="S552" s="2" t="s">
        <v>45</v>
      </c>
      <c r="V552" s="2" t="s">
        <v>1275</v>
      </c>
      <c r="W552" s="2">
        <v>2</v>
      </c>
    </row>
    <row r="553" spans="1:23" ht="15.75" customHeight="1" x14ac:dyDescent="0.35">
      <c r="A553" s="2" t="s">
        <v>23</v>
      </c>
      <c r="L553" s="2">
        <v>261</v>
      </c>
      <c r="M553" s="2" t="s">
        <v>184</v>
      </c>
      <c r="O553" s="2" t="s">
        <v>1276</v>
      </c>
      <c r="P553" s="2" t="str">
        <f ca="1">IFERROR(__xludf.DUMMYFUNCTION("GOOGLETRANSLATE(O553,""en"",""bn"")"),"সোমনাথ মাজি")</f>
        <v>সোমনাথ মাজি</v>
      </c>
      <c r="Q553" s="2" t="s">
        <v>45</v>
      </c>
      <c r="S553" s="2" t="s">
        <v>45</v>
      </c>
      <c r="V553" s="2" t="s">
        <v>1277</v>
      </c>
      <c r="W553" s="2">
        <v>2</v>
      </c>
    </row>
    <row r="554" spans="1:23" ht="15.75" customHeight="1" x14ac:dyDescent="0.35">
      <c r="A554" s="2" t="s">
        <v>23</v>
      </c>
      <c r="L554" s="2">
        <v>138</v>
      </c>
      <c r="M554" s="2" t="s">
        <v>145</v>
      </c>
      <c r="O554" s="2" t="s">
        <v>1278</v>
      </c>
      <c r="P554" s="2" t="str">
        <f ca="1">IFERROR(__xludf.DUMMYFUNCTION("GOOGLETRANSLATE(O554,""en"",""bn"")"),"প্রবীর মন্ডল")</f>
        <v>প্রবীর মন্ডল</v>
      </c>
      <c r="Q554" s="2" t="s">
        <v>1047</v>
      </c>
      <c r="S554" s="2" t="s">
        <v>1047</v>
      </c>
      <c r="V554" s="2" t="s">
        <v>1279</v>
      </c>
      <c r="W554" s="2">
        <v>2</v>
      </c>
    </row>
    <row r="555" spans="1:23" ht="15.75" customHeight="1" x14ac:dyDescent="0.35">
      <c r="A555" s="2" t="s">
        <v>23</v>
      </c>
      <c r="L555" s="2">
        <v>135</v>
      </c>
      <c r="M555" s="2" t="s">
        <v>333</v>
      </c>
      <c r="O555" s="2" t="s">
        <v>1280</v>
      </c>
      <c r="P555" s="2" t="str">
        <f ca="1">IFERROR(__xludf.DUMMYFUNCTION("GOOGLETRANSLATE(O555,""en"",""bn"")"),"শিবানী মণ্ডল")</f>
        <v>শিবানী মণ্ডল</v>
      </c>
      <c r="Q555" s="2" t="s">
        <v>49</v>
      </c>
      <c r="S555" s="2" t="s">
        <v>49</v>
      </c>
      <c r="V555" s="2" t="s">
        <v>1281</v>
      </c>
      <c r="W555" s="2">
        <v>2</v>
      </c>
    </row>
    <row r="556" spans="1:23" ht="15.75" customHeight="1" x14ac:dyDescent="0.35">
      <c r="A556" s="2" t="s">
        <v>23</v>
      </c>
      <c r="L556" s="2">
        <v>93</v>
      </c>
      <c r="M556" s="2" t="s">
        <v>187</v>
      </c>
      <c r="O556" s="2" t="s">
        <v>1282</v>
      </c>
      <c r="P556" s="2" t="str">
        <f ca="1">IFERROR(__xludf.DUMMYFUNCTION("GOOGLETRANSLATE(O556,""en"",""bn"")"),"স্বপন কুমার সরকার")</f>
        <v>স্বপন কুমার সরকার</v>
      </c>
      <c r="Q556" s="2" t="s">
        <v>45</v>
      </c>
      <c r="S556" s="2" t="s">
        <v>45</v>
      </c>
      <c r="V556" s="2" t="s">
        <v>1283</v>
      </c>
      <c r="W556" s="2">
        <v>2</v>
      </c>
    </row>
    <row r="557" spans="1:23" ht="15.75" customHeight="1" x14ac:dyDescent="0.35">
      <c r="A557" s="2" t="s">
        <v>23</v>
      </c>
      <c r="L557" s="2">
        <v>102</v>
      </c>
      <c r="M557" s="2" t="s">
        <v>169</v>
      </c>
      <c r="O557" s="2" t="s">
        <v>1284</v>
      </c>
      <c r="P557" s="2" t="str">
        <f ca="1">IFERROR(__xludf.DUMMYFUNCTION("GOOGLETRANSLATE(O557,""en"",""bn"")"),"মৌফুল দাস")</f>
        <v>মৌফুল দাস</v>
      </c>
      <c r="Q557" s="2" t="s">
        <v>49</v>
      </c>
      <c r="S557" s="2" t="s">
        <v>49</v>
      </c>
      <c r="V557" s="2" t="s">
        <v>1285</v>
      </c>
      <c r="W557" s="2">
        <v>2</v>
      </c>
    </row>
    <row r="558" spans="1:23" ht="15.75" customHeight="1" x14ac:dyDescent="0.35">
      <c r="A558" s="2" t="s">
        <v>23</v>
      </c>
      <c r="L558" s="2">
        <v>198</v>
      </c>
      <c r="M558" s="2" t="s">
        <v>381</v>
      </c>
      <c r="O558" s="2" t="s">
        <v>1286</v>
      </c>
      <c r="P558" s="2" t="str">
        <f ca="1">IFERROR(__xludf.DUMMYFUNCTION("GOOGLETRANSLATE(O558,""en"",""bn"")"),"রামেন্দু সিনহারায়")</f>
        <v>রামেন্দু সিনহারায়</v>
      </c>
      <c r="Q558" s="2" t="s">
        <v>26</v>
      </c>
      <c r="S558" s="2" t="s">
        <v>26</v>
      </c>
      <c r="V558" s="2" t="s">
        <v>1287</v>
      </c>
      <c r="W558" s="2">
        <v>2</v>
      </c>
    </row>
    <row r="559" spans="1:23" ht="15.75" customHeight="1" x14ac:dyDescent="0.35">
      <c r="A559" s="2" t="s">
        <v>23</v>
      </c>
      <c r="L559" s="2">
        <v>174</v>
      </c>
      <c r="M559" s="2" t="s">
        <v>256</v>
      </c>
      <c r="O559" s="2" t="s">
        <v>1288</v>
      </c>
      <c r="P559" s="2" t="str">
        <f ca="1">IFERROR(__xludf.DUMMYFUNCTION("GOOGLETRANSLATE(O559,""en"",""bn"")"),"সমীর মালিক")</f>
        <v>সমীর মালিক</v>
      </c>
      <c r="Q559" s="2" t="s">
        <v>45</v>
      </c>
      <c r="S559" s="2" t="s">
        <v>45</v>
      </c>
      <c r="V559" s="2" t="s">
        <v>1289</v>
      </c>
      <c r="W559" s="2">
        <v>2</v>
      </c>
    </row>
    <row r="560" spans="1:23" ht="15.75" customHeight="1" x14ac:dyDescent="0.35">
      <c r="A560" s="2" t="s">
        <v>23</v>
      </c>
      <c r="L560" s="2">
        <v>124</v>
      </c>
      <c r="M560" s="2" t="s">
        <v>190</v>
      </c>
      <c r="O560" s="2" t="s">
        <v>1290</v>
      </c>
      <c r="P560" s="2" t="str">
        <f ca="1">IFERROR(__xludf.DUMMYFUNCTION("GOOGLETRANSLATE(O560,""en"",""bn"")"),"ডঃ সৌর্য ব্যানার্জী")</f>
        <v>ডঃ সৌর্য ব্যানার্জী</v>
      </c>
      <c r="Q560" s="2" t="s">
        <v>34</v>
      </c>
      <c r="S560" s="2" t="s">
        <v>34</v>
      </c>
      <c r="V560" s="2" t="s">
        <v>1291</v>
      </c>
      <c r="W560" s="2">
        <v>2</v>
      </c>
    </row>
    <row r="561" spans="1:23" ht="15.75" customHeight="1" x14ac:dyDescent="0.35">
      <c r="A561" s="2" t="s">
        <v>23</v>
      </c>
      <c r="L561" s="2">
        <v>271</v>
      </c>
      <c r="M561" s="2" t="s">
        <v>444</v>
      </c>
      <c r="O561" s="2" t="s">
        <v>1292</v>
      </c>
      <c r="P561" s="2" t="str">
        <f ca="1">IFERROR(__xludf.DUMMYFUNCTION("GOOGLETRANSLATE(O561,""en"",""bn"")"),"সেখ সাহোনাওয়েজ")</f>
        <v>সেখ সাহোনাওয়েজ</v>
      </c>
      <c r="Q561" s="2" t="s">
        <v>26</v>
      </c>
      <c r="S561" s="2" t="s">
        <v>26</v>
      </c>
      <c r="V561" s="2" t="s">
        <v>1293</v>
      </c>
      <c r="W561" s="2">
        <v>2</v>
      </c>
    </row>
    <row r="562" spans="1:23" ht="15.75" customHeight="1" x14ac:dyDescent="0.35">
      <c r="A562" s="2" t="s">
        <v>23</v>
      </c>
      <c r="L562" s="2">
        <v>171</v>
      </c>
      <c r="M562" s="2" t="s">
        <v>87</v>
      </c>
      <c r="O562" s="2" t="s">
        <v>1294</v>
      </c>
      <c r="P562" s="2" t="str">
        <f ca="1">IFERROR(__xludf.DUMMYFUNCTION("GOOGLETRANSLATE(O562,""en"",""bn"")"),"দেবনাথ কুন্ডু")</f>
        <v>দেবনাথ কুন্ডু</v>
      </c>
      <c r="Q562" s="2" t="s">
        <v>49</v>
      </c>
      <c r="S562" s="2" t="s">
        <v>49</v>
      </c>
      <c r="V562" s="2" t="s">
        <v>1295</v>
      </c>
      <c r="W562" s="2">
        <v>2</v>
      </c>
    </row>
    <row r="563" spans="1:23" ht="15.75" customHeight="1" x14ac:dyDescent="0.35">
      <c r="A563" s="2" t="s">
        <v>23</v>
      </c>
      <c r="L563" s="2">
        <v>151</v>
      </c>
      <c r="M563" s="2" t="s">
        <v>81</v>
      </c>
      <c r="O563" s="2" t="s">
        <v>1296</v>
      </c>
      <c r="P563" s="2" t="str">
        <f ca="1">IFERROR(__xludf.DUMMYFUNCTION("GOOGLETRANSLATE(O563,""en"",""bn"")"),"মোনালিসা সিনহা")</f>
        <v>মোনালিসা সিনহা</v>
      </c>
      <c r="Q563" s="2" t="s">
        <v>45</v>
      </c>
      <c r="S563" s="2" t="s">
        <v>45</v>
      </c>
      <c r="V563" s="2" t="s">
        <v>1297</v>
      </c>
      <c r="W563" s="2">
        <v>2</v>
      </c>
    </row>
    <row r="564" spans="1:23" ht="15.75" customHeight="1" x14ac:dyDescent="0.35">
      <c r="A564" s="2" t="s">
        <v>23</v>
      </c>
      <c r="L564" s="2">
        <v>156</v>
      </c>
      <c r="M564" s="2" t="s">
        <v>94</v>
      </c>
      <c r="O564" s="2" t="s">
        <v>1298</v>
      </c>
      <c r="P564" s="2" t="str">
        <f ca="1">IFERROR(__xludf.DUMMYFUNCTION("GOOGLETRANSLATE(O564,""en"",""bn"")"),"কাজল দত্ত")</f>
        <v>কাজল দত্ত</v>
      </c>
      <c r="Q564" s="2" t="s">
        <v>1038</v>
      </c>
      <c r="S564" s="2" t="s">
        <v>1038</v>
      </c>
      <c r="V564" s="2" t="s">
        <v>1299</v>
      </c>
      <c r="W564" s="2">
        <v>2</v>
      </c>
    </row>
    <row r="565" spans="1:23" ht="15.75" customHeight="1" x14ac:dyDescent="0.35">
      <c r="A565" s="2" t="s">
        <v>23</v>
      </c>
      <c r="L565" s="2">
        <v>140</v>
      </c>
      <c r="M565" s="2" t="s">
        <v>429</v>
      </c>
      <c r="O565" s="2" t="s">
        <v>1300</v>
      </c>
      <c r="P565" s="2" t="str">
        <f ca="1">IFERROR(__xludf.DUMMYFUNCTION("GOOGLETRANSLATE(O565,""en"",""bn"")"),"বিশ্বজিৎ পল")</f>
        <v>বিশ্বজিৎ পল</v>
      </c>
      <c r="Q565" s="2" t="s">
        <v>34</v>
      </c>
      <c r="S565" s="2" t="s">
        <v>34</v>
      </c>
      <c r="V565" s="2" t="s">
        <v>1301</v>
      </c>
      <c r="W565" s="2">
        <v>2</v>
      </c>
    </row>
    <row r="566" spans="1:23" ht="15.75" customHeight="1" x14ac:dyDescent="0.35">
      <c r="A566" s="2" t="s">
        <v>23</v>
      </c>
      <c r="L566" s="2">
        <v>103</v>
      </c>
      <c r="M566" s="2" t="s">
        <v>199</v>
      </c>
      <c r="O566" s="2" t="s">
        <v>1302</v>
      </c>
      <c r="P566" s="2" t="str">
        <f ca="1">IFERROR(__xludf.DUMMYFUNCTION("GOOGLETRANSLATE(O566,""en"",""bn"")"),"সুদীপ্ত দাস")</f>
        <v>সুদীপ্ত দাস</v>
      </c>
      <c r="Q566" s="2" t="s">
        <v>34</v>
      </c>
      <c r="S566" s="2" t="s">
        <v>34</v>
      </c>
      <c r="V566" s="2" t="s">
        <v>1303</v>
      </c>
      <c r="W566" s="2">
        <v>2</v>
      </c>
    </row>
    <row r="567" spans="1:23" ht="15.75" customHeight="1" x14ac:dyDescent="0.35">
      <c r="A567" s="2" t="s">
        <v>23</v>
      </c>
      <c r="L567" s="2">
        <v>154</v>
      </c>
      <c r="M567" s="2" t="s">
        <v>136</v>
      </c>
      <c r="O567" s="2" t="s">
        <v>1304</v>
      </c>
      <c r="P567" s="2" t="str">
        <f ca="1">IFERROR(__xludf.DUMMYFUNCTION("GOOGLETRANSLATE(O567,""en"",""bn"")"),"রত্না চ্যাটার্জী")</f>
        <v>রত্না চ্যাটার্জী</v>
      </c>
      <c r="Q567" s="2" t="s">
        <v>26</v>
      </c>
      <c r="S567" s="2" t="s">
        <v>26</v>
      </c>
      <c r="V567" s="2" t="s">
        <v>1305</v>
      </c>
      <c r="W567" s="2">
        <v>2</v>
      </c>
    </row>
    <row r="568" spans="1:23" ht="15.75" customHeight="1" x14ac:dyDescent="0.35">
      <c r="A568" s="2" t="s">
        <v>23</v>
      </c>
      <c r="L568" s="2">
        <v>187</v>
      </c>
      <c r="M568" s="2" t="s">
        <v>405</v>
      </c>
      <c r="O568" s="2" t="s">
        <v>1306</v>
      </c>
      <c r="P568" s="2" t="str">
        <f ca="1">IFERROR(__xludf.DUMMYFUNCTION("GOOGLETRANSLATE(O568,""en"",""bn"")"),"প্রীতম ঘোষ")</f>
        <v>প্রীতম ঘোষ</v>
      </c>
      <c r="Q568" s="2" t="s">
        <v>41</v>
      </c>
      <c r="S568" s="2" t="s">
        <v>41</v>
      </c>
      <c r="V568" s="2" t="s">
        <v>1307</v>
      </c>
      <c r="W568" s="2">
        <v>2</v>
      </c>
    </row>
    <row r="569" spans="1:23" ht="15.75" customHeight="1" x14ac:dyDescent="0.35">
      <c r="A569" s="2" t="s">
        <v>23</v>
      </c>
      <c r="L569" s="2">
        <v>274</v>
      </c>
      <c r="M569" s="2" t="s">
        <v>366</v>
      </c>
      <c r="O569" s="2" t="s">
        <v>1308</v>
      </c>
      <c r="P569" s="2" t="str">
        <f ca="1">IFERROR(__xludf.DUMMYFUNCTION("GOOGLETRANSLATE(O569,""en"",""bn"")"),"মণিমালা দাস")</f>
        <v>মণিমালা দাস</v>
      </c>
      <c r="Q569" s="2" t="s">
        <v>45</v>
      </c>
      <c r="S569" s="2" t="s">
        <v>45</v>
      </c>
      <c r="V569" s="2" t="s">
        <v>1309</v>
      </c>
      <c r="W569" s="2">
        <v>2</v>
      </c>
    </row>
    <row r="570" spans="1:23" ht="15.75" customHeight="1" x14ac:dyDescent="0.35">
      <c r="A570" s="2" t="s">
        <v>23</v>
      </c>
      <c r="L570" s="2">
        <v>187</v>
      </c>
      <c r="M570" s="2" t="s">
        <v>405</v>
      </c>
      <c r="O570" s="2" t="s">
        <v>1310</v>
      </c>
      <c r="P570" s="2" t="str">
        <f ca="1">IFERROR(__xludf.DUMMYFUNCTION("GOOGLETRANSLATE(O570,""en"",""bn"")"),"মাল্লা মুক্তার")</f>
        <v>মাল্লা মুক্তার</v>
      </c>
      <c r="Q570" s="2" t="s">
        <v>1109</v>
      </c>
      <c r="S570" s="2" t="s">
        <v>1109</v>
      </c>
      <c r="V570" s="2" t="s">
        <v>1311</v>
      </c>
      <c r="W570" s="2">
        <v>2</v>
      </c>
    </row>
    <row r="571" spans="1:23" ht="15.75" customHeight="1" x14ac:dyDescent="0.35">
      <c r="A571" s="2" t="s">
        <v>23</v>
      </c>
      <c r="L571" s="2">
        <v>115</v>
      </c>
      <c r="M571" s="2" t="s">
        <v>84</v>
      </c>
      <c r="O571" s="2" t="s">
        <v>1312</v>
      </c>
      <c r="P571" s="2" t="str">
        <f ca="1">IFERROR(__xludf.DUMMYFUNCTION("GOOGLETRANSLATE(O571,""en"",""bn"")"),"আশুতোষ পল")</f>
        <v>আশুতোষ পল</v>
      </c>
      <c r="Q571" s="2" t="s">
        <v>1313</v>
      </c>
      <c r="S571" s="2" t="s">
        <v>1313</v>
      </c>
      <c r="V571" s="2" t="s">
        <v>1314</v>
      </c>
      <c r="W571" s="2">
        <v>2</v>
      </c>
    </row>
    <row r="572" spans="1:23" ht="15.75" customHeight="1" x14ac:dyDescent="0.35">
      <c r="A572" s="2" t="s">
        <v>23</v>
      </c>
      <c r="L572" s="2">
        <v>108</v>
      </c>
      <c r="M572" s="2" t="s">
        <v>441</v>
      </c>
      <c r="O572" s="2" t="s">
        <v>1315</v>
      </c>
      <c r="P572" s="2" t="str">
        <f ca="1">IFERROR(__xludf.DUMMYFUNCTION("GOOGLETRANSLATE(O572,""en"",""bn"")"),"অমল কুমার সেন")</f>
        <v>অমল কুমার সেন</v>
      </c>
      <c r="Q572" s="2" t="s">
        <v>92</v>
      </c>
      <c r="S572" s="2" t="s">
        <v>92</v>
      </c>
      <c r="V572" s="2" t="s">
        <v>1316</v>
      </c>
      <c r="W572" s="2">
        <v>2</v>
      </c>
    </row>
    <row r="573" spans="1:23" ht="15.75" customHeight="1" x14ac:dyDescent="0.35">
      <c r="A573" s="2" t="s">
        <v>23</v>
      </c>
      <c r="L573" s="2">
        <v>131</v>
      </c>
      <c r="M573" s="2" t="s">
        <v>130</v>
      </c>
      <c r="O573" s="2" t="s">
        <v>1317</v>
      </c>
      <c r="P573" s="2" t="str">
        <f ca="1">IFERROR(__xludf.DUMMYFUNCTION("GOOGLETRANSLATE(O573,""en"",""bn"")"),"মানতুরাম পাখিরা")</f>
        <v>মানতুরাম পাখিরা</v>
      </c>
      <c r="Q573" s="2" t="s">
        <v>26</v>
      </c>
      <c r="S573" s="2" t="s">
        <v>26</v>
      </c>
      <c r="V573" s="2" t="s">
        <v>1318</v>
      </c>
      <c r="W573" s="2">
        <v>2</v>
      </c>
    </row>
    <row r="574" spans="1:23" ht="15.75" customHeight="1" x14ac:dyDescent="0.35">
      <c r="A574" s="2" t="s">
        <v>23</v>
      </c>
      <c r="L574" s="2">
        <v>171</v>
      </c>
      <c r="M574" s="2" t="s">
        <v>87</v>
      </c>
      <c r="O574" s="2" t="s">
        <v>1319</v>
      </c>
      <c r="P574" s="2" t="str">
        <f ca="1">IFERROR(__xludf.DUMMYFUNCTION("GOOGLETRANSLATE(O574,""en"",""bn"")"),"বিপ্লব কুমার মণ্ডল")</f>
        <v>বিপ্লব কুমার মণ্ডল</v>
      </c>
      <c r="Q574" s="2" t="s">
        <v>34</v>
      </c>
      <c r="S574" s="2" t="s">
        <v>34</v>
      </c>
      <c r="V574" s="2" t="s">
        <v>1320</v>
      </c>
      <c r="W574" s="2">
        <v>2</v>
      </c>
    </row>
    <row r="575" spans="1:23" ht="15.75" customHeight="1" x14ac:dyDescent="0.35">
      <c r="A575" s="2" t="s">
        <v>23</v>
      </c>
      <c r="L575" s="2">
        <v>197</v>
      </c>
      <c r="M575" s="2" t="s">
        <v>360</v>
      </c>
      <c r="O575" s="2" t="s">
        <v>1321</v>
      </c>
      <c r="P575" s="2" t="str">
        <f ca="1">IFERROR(__xludf.DUMMYFUNCTION("GOOGLETRANSLATE(O575,""en"",""bn"")"),"অরবিন্দ ব্যাগ")</f>
        <v>অরবিন্দ ব্যাগ</v>
      </c>
      <c r="Q575" s="2" t="s">
        <v>1322</v>
      </c>
      <c r="S575" s="2" t="s">
        <v>1322</v>
      </c>
      <c r="V575" s="2" t="s">
        <v>1323</v>
      </c>
      <c r="W575" s="2">
        <v>2</v>
      </c>
    </row>
    <row r="576" spans="1:23" ht="15.75" customHeight="1" x14ac:dyDescent="0.35">
      <c r="A576" s="2" t="s">
        <v>23</v>
      </c>
      <c r="L576" s="2">
        <v>139</v>
      </c>
      <c r="M576" s="2" t="s">
        <v>238</v>
      </c>
      <c r="O576" s="2" t="s">
        <v>1324</v>
      </c>
      <c r="P576" s="2" t="str">
        <f ca="1">IFERROR(__xludf.DUMMYFUNCTION("GOOGLETRANSLATE(O576,""en"",""bn"")"),"ইসারাফিল মোলিয়া")</f>
        <v>ইসারাফিল মোলিয়া</v>
      </c>
      <c r="Q576" s="2" t="s">
        <v>1109</v>
      </c>
      <c r="S576" s="2" t="s">
        <v>1109</v>
      </c>
      <c r="V576" s="2" t="s">
        <v>1325</v>
      </c>
      <c r="W576" s="2">
        <v>2</v>
      </c>
    </row>
    <row r="577" spans="1:23" ht="15.75" customHeight="1" x14ac:dyDescent="0.35">
      <c r="A577" s="2" t="s">
        <v>23</v>
      </c>
      <c r="L577" s="2">
        <v>178</v>
      </c>
      <c r="M577" s="2" t="s">
        <v>226</v>
      </c>
      <c r="O577" s="2" t="s">
        <v>1326</v>
      </c>
      <c r="P577" s="2" t="str">
        <f ca="1">IFERROR(__xludf.DUMMYFUNCTION("GOOGLETRANSLATE(O577,""en"",""bn"")"),"জয়ন্ত খাটুয়া")</f>
        <v>জয়ন্ত খাটুয়া</v>
      </c>
      <c r="Q577" s="2" t="s">
        <v>92</v>
      </c>
      <c r="S577" s="2" t="s">
        <v>92</v>
      </c>
      <c r="V577" s="2" t="s">
        <v>1327</v>
      </c>
      <c r="W577" s="2">
        <v>2</v>
      </c>
    </row>
    <row r="578" spans="1:23" ht="15.75" customHeight="1" x14ac:dyDescent="0.35">
      <c r="A578" s="2" t="s">
        <v>23</v>
      </c>
      <c r="L578" s="2">
        <v>198</v>
      </c>
      <c r="M578" s="2" t="s">
        <v>381</v>
      </c>
      <c r="O578" s="2" t="s">
        <v>1328</v>
      </c>
      <c r="P578" s="2" t="str">
        <f ca="1">IFERROR(__xludf.DUMMYFUNCTION("GOOGLETRANSLATE(O578,""en"",""bn"")"),"সান্তু পান")</f>
        <v>সান্তু পান</v>
      </c>
      <c r="Q578" s="2" t="s">
        <v>34</v>
      </c>
      <c r="S578" s="2" t="s">
        <v>34</v>
      </c>
      <c r="V578" s="2" t="s">
        <v>1329</v>
      </c>
      <c r="W578" s="2">
        <v>2</v>
      </c>
    </row>
    <row r="579" spans="1:23" ht="15.75" customHeight="1" x14ac:dyDescent="0.35">
      <c r="A579" s="2" t="s">
        <v>23</v>
      </c>
      <c r="L579" s="2">
        <v>161</v>
      </c>
      <c r="M579" s="2" t="s">
        <v>112</v>
      </c>
      <c r="O579" s="2" t="s">
        <v>1330</v>
      </c>
      <c r="P579" s="2" t="str">
        <f ca="1">IFERROR(__xludf.DUMMYFUNCTION("GOOGLETRANSLATE(O579,""en"",""bn"")"),"শোভনদেব চট্টোপাধ্যায়")</f>
        <v>শোভনদেব চট্টোপাধ্যায়</v>
      </c>
      <c r="Q579" s="2" t="s">
        <v>26</v>
      </c>
      <c r="S579" s="2" t="s">
        <v>26</v>
      </c>
      <c r="V579" s="2" t="s">
        <v>1331</v>
      </c>
      <c r="W579" s="2">
        <v>2</v>
      </c>
    </row>
    <row r="580" spans="1:23" ht="15.75" customHeight="1" x14ac:dyDescent="0.35">
      <c r="A580" s="2" t="s">
        <v>23</v>
      </c>
      <c r="L580" s="2">
        <v>184</v>
      </c>
      <c r="M580" s="2" t="s">
        <v>60</v>
      </c>
      <c r="O580" s="2" t="s">
        <v>1332</v>
      </c>
      <c r="P580" s="2" t="str">
        <f ca="1">IFERROR(__xludf.DUMMYFUNCTION("GOOGLETRANSLATE(O580,""en"",""bn"")"),"মুনসুরা বেগম")</f>
        <v>মুনসুরা বেগম</v>
      </c>
      <c r="Q580" s="2" t="s">
        <v>1333</v>
      </c>
      <c r="S580" s="2" t="s">
        <v>1333</v>
      </c>
      <c r="V580" s="2" t="s">
        <v>1334</v>
      </c>
      <c r="W580" s="2">
        <v>2</v>
      </c>
    </row>
    <row r="581" spans="1:23" ht="15.75" customHeight="1" x14ac:dyDescent="0.35">
      <c r="A581" s="2" t="s">
        <v>23</v>
      </c>
      <c r="L581" s="2">
        <v>130</v>
      </c>
      <c r="M581" s="2" t="s">
        <v>447</v>
      </c>
      <c r="O581" s="2" t="s">
        <v>1335</v>
      </c>
      <c r="P581" s="2" t="str">
        <f ca="1">IFERROR(__xludf.DUMMYFUNCTION("GOOGLETRANSLATE(O581,""en"",""bn"")"),"সমীর কুমার জানা")</f>
        <v>সমীর কুমার জানা</v>
      </c>
      <c r="Q581" s="2" t="s">
        <v>26</v>
      </c>
      <c r="S581" s="2" t="s">
        <v>26</v>
      </c>
      <c r="V581" s="2" t="s">
        <v>1336</v>
      </c>
      <c r="W581" s="2">
        <v>2</v>
      </c>
    </row>
    <row r="582" spans="1:23" ht="15.75" customHeight="1" x14ac:dyDescent="0.35">
      <c r="A582" s="2" t="s">
        <v>23</v>
      </c>
      <c r="L582" s="2">
        <v>150</v>
      </c>
      <c r="M582" s="2" t="s">
        <v>181</v>
      </c>
      <c r="O582" s="2" t="s">
        <v>1337</v>
      </c>
      <c r="P582" s="2" t="str">
        <f ca="1">IFERROR(__xludf.DUMMYFUNCTION("GOOGLETRANSLATE(O582,""en"",""bn"")"),"দেবাব্রাতা বেরা")</f>
        <v>দেবাব্রাতা বেরা</v>
      </c>
      <c r="Q582" s="2" t="s">
        <v>92</v>
      </c>
      <c r="S582" s="2" t="s">
        <v>92</v>
      </c>
      <c r="V582" s="2" t="s">
        <v>1338</v>
      </c>
      <c r="W582" s="2">
        <v>2</v>
      </c>
    </row>
    <row r="583" spans="1:23" ht="15.75" customHeight="1" x14ac:dyDescent="0.35">
      <c r="A583" s="2" t="s">
        <v>23</v>
      </c>
      <c r="L583" s="2">
        <v>195</v>
      </c>
      <c r="M583" s="2" t="s">
        <v>235</v>
      </c>
      <c r="O583" s="2" t="s">
        <v>1339</v>
      </c>
      <c r="P583" s="2" t="str">
        <f ca="1">IFERROR(__xludf.DUMMYFUNCTION("GOOGLETRANSLATE(O583,""en"",""bn"")"),"এ.টি.এম. মোদাব্বার হোসেন")</f>
        <v>এ.টি.এম. মোদাব্বার হোসেন</v>
      </c>
      <c r="Q583" s="2" t="s">
        <v>1109</v>
      </c>
      <c r="S583" s="2" t="s">
        <v>1109</v>
      </c>
      <c r="V583" s="2" t="s">
        <v>1340</v>
      </c>
      <c r="W583" s="2">
        <v>2</v>
      </c>
    </row>
    <row r="584" spans="1:23" ht="15.75" customHeight="1" x14ac:dyDescent="0.35">
      <c r="A584" s="2" t="s">
        <v>23</v>
      </c>
      <c r="L584" s="2">
        <v>106</v>
      </c>
      <c r="M584" s="2" t="s">
        <v>283</v>
      </c>
      <c r="O584" s="2" t="s">
        <v>1341</v>
      </c>
      <c r="P584" s="2" t="str">
        <f ca="1">IFERROR(__xludf.DUMMYFUNCTION("GOOGLETRANSLATE(O584,""en"",""bn"")"),"সোমেনাথ শ্যাম ইচিনী")</f>
        <v>সোমেনাথ শ্যাম ইচিনী</v>
      </c>
      <c r="Q584" s="2" t="s">
        <v>26</v>
      </c>
      <c r="S584" s="2" t="s">
        <v>26</v>
      </c>
      <c r="V584" s="2" t="s">
        <v>1342</v>
      </c>
      <c r="W584" s="2">
        <v>2</v>
      </c>
    </row>
    <row r="585" spans="1:23" ht="15.75" customHeight="1" x14ac:dyDescent="0.35">
      <c r="A585" s="2" t="s">
        <v>23</v>
      </c>
      <c r="L585" s="2">
        <v>156</v>
      </c>
      <c r="M585" s="2" t="s">
        <v>94</v>
      </c>
      <c r="O585" s="2" t="s">
        <v>1343</v>
      </c>
      <c r="P585" s="2" t="str">
        <f ca="1">IFERROR(__xludf.DUMMYFUNCTION("GOOGLETRANSLATE(O585,""en"",""bn"")"),"বাসুদেব কাবরি")</f>
        <v>বাসুদেব কাবরি</v>
      </c>
      <c r="Q585" s="2" t="s">
        <v>92</v>
      </c>
      <c r="S585" s="2" t="s">
        <v>92</v>
      </c>
      <c r="V585" s="2" t="s">
        <v>1344</v>
      </c>
      <c r="W585" s="2">
        <v>2</v>
      </c>
    </row>
    <row r="586" spans="1:23" ht="15.75" customHeight="1" x14ac:dyDescent="0.35">
      <c r="A586" s="2" t="s">
        <v>23</v>
      </c>
      <c r="L586" s="2">
        <v>78</v>
      </c>
      <c r="M586" s="2" t="s">
        <v>47</v>
      </c>
      <c r="O586" s="2" t="s">
        <v>1345</v>
      </c>
      <c r="P586" s="2" t="str">
        <f ca="1">IFERROR(__xludf.DUMMYFUNCTION("GOOGLETRANSLATE(O586,""en"",""bn"")"),"সুব্রত কবিরাজ")</f>
        <v>সুব্রত কবিরাজ</v>
      </c>
      <c r="Q586" s="2" t="s">
        <v>34</v>
      </c>
      <c r="S586" s="2" t="s">
        <v>34</v>
      </c>
      <c r="V586" s="2" t="s">
        <v>1346</v>
      </c>
      <c r="W586" s="2">
        <v>2</v>
      </c>
    </row>
    <row r="587" spans="1:23" ht="15.75" customHeight="1" x14ac:dyDescent="0.35">
      <c r="A587" s="2" t="s">
        <v>23</v>
      </c>
      <c r="L587" s="2">
        <v>132</v>
      </c>
      <c r="M587" s="2" t="s">
        <v>220</v>
      </c>
      <c r="O587" s="2" t="s">
        <v>1347</v>
      </c>
      <c r="P587" s="2" t="str">
        <f ca="1">IFERROR(__xludf.DUMMYFUNCTION("GOOGLETRANSLATE(O587,""en"",""bn"")"),"স্বপন সিংহা")</f>
        <v>স্বপন সিংহা</v>
      </c>
      <c r="Q587" s="2" t="s">
        <v>45</v>
      </c>
      <c r="S587" s="2" t="s">
        <v>45</v>
      </c>
      <c r="V587" s="2" t="s">
        <v>1348</v>
      </c>
      <c r="W587" s="2">
        <v>2</v>
      </c>
    </row>
    <row r="588" spans="1:23" ht="15.75" customHeight="1" x14ac:dyDescent="0.35">
      <c r="A588" s="2" t="s">
        <v>23</v>
      </c>
      <c r="L588" s="2">
        <v>87</v>
      </c>
      <c r="M588" s="2" t="s">
        <v>351</v>
      </c>
      <c r="O588" s="2" t="s">
        <v>1349</v>
      </c>
      <c r="P588" s="2" t="str">
        <f ca="1">IFERROR(__xludf.DUMMYFUNCTION("GOOGLETRANSLATE(O588,""en"",""bn"")"),"সঞ্জয় মিস্ট্রি")</f>
        <v>সঞ্জয় মিস্ট্রি</v>
      </c>
      <c r="Q588" s="2" t="s">
        <v>49</v>
      </c>
      <c r="S588" s="2" t="s">
        <v>49</v>
      </c>
      <c r="V588" s="2" t="s">
        <v>1350</v>
      </c>
      <c r="W588" s="2">
        <v>2</v>
      </c>
    </row>
    <row r="589" spans="1:23" ht="15.75" customHeight="1" x14ac:dyDescent="0.35">
      <c r="A589" s="2" t="s">
        <v>23</v>
      </c>
      <c r="L589" s="2">
        <v>124</v>
      </c>
      <c r="M589" s="2" t="s">
        <v>190</v>
      </c>
      <c r="O589" s="2" t="s">
        <v>1351</v>
      </c>
      <c r="P589" s="2" t="str">
        <f ca="1">IFERROR(__xludf.DUMMYFUNCTION("GOOGLETRANSLATE(O589,""en"",""bn"")"),"সুরজিৎ মিত্র (বাদল)")</f>
        <v>সুরজিৎ মিত্র (বাদল)</v>
      </c>
      <c r="Q589" s="2" t="s">
        <v>26</v>
      </c>
      <c r="S589" s="2" t="s">
        <v>26</v>
      </c>
      <c r="V589" s="2" t="s">
        <v>1352</v>
      </c>
      <c r="W589" s="2">
        <v>2</v>
      </c>
    </row>
    <row r="590" spans="1:23" ht="15.75" customHeight="1" x14ac:dyDescent="0.35">
      <c r="A590" s="2" t="s">
        <v>23</v>
      </c>
      <c r="L590" s="2">
        <v>151</v>
      </c>
      <c r="M590" s="2" t="s">
        <v>81</v>
      </c>
      <c r="O590" s="2" t="s">
        <v>1353</v>
      </c>
      <c r="P590" s="2" t="str">
        <f ca="1">IFERROR(__xludf.DUMMYFUNCTION("GOOGLETRANSLATE(O590,""en"",""bn"")"),"সঞ্জয় প্রামাণিক")</f>
        <v>সঞ্জয় প্রামাণিক</v>
      </c>
      <c r="Q590" s="2" t="s">
        <v>49</v>
      </c>
      <c r="S590" s="2" t="s">
        <v>49</v>
      </c>
      <c r="V590" s="2" t="s">
        <v>1354</v>
      </c>
      <c r="W590" s="2">
        <v>2</v>
      </c>
    </row>
    <row r="591" spans="1:23" ht="15.75" customHeight="1" x14ac:dyDescent="0.35">
      <c r="A591" s="2" t="s">
        <v>23</v>
      </c>
      <c r="L591" s="2">
        <v>167</v>
      </c>
      <c r="M591" s="2" t="s">
        <v>109</v>
      </c>
      <c r="O591" s="2" t="s">
        <v>1355</v>
      </c>
      <c r="P591" s="2" t="str">
        <f ca="1">IFERROR(__xludf.DUMMYFUNCTION("GOOGLETRANSLATE(O591,""en"",""bn"")"),"মৌসুমী ঘোষ")</f>
        <v>মৌসুমী ঘোষ</v>
      </c>
      <c r="Q591" s="2" t="s">
        <v>1218</v>
      </c>
      <c r="S591" s="2" t="s">
        <v>1218</v>
      </c>
      <c r="V591" s="2" t="s">
        <v>1356</v>
      </c>
      <c r="W591" s="2">
        <v>2</v>
      </c>
    </row>
    <row r="592" spans="1:23" ht="15.75" customHeight="1" x14ac:dyDescent="0.35">
      <c r="A592" s="2" t="s">
        <v>23</v>
      </c>
      <c r="L592" s="2">
        <v>271</v>
      </c>
      <c r="M592" s="2" t="s">
        <v>444</v>
      </c>
      <c r="O592" s="2" t="s">
        <v>1357</v>
      </c>
      <c r="P592" s="2" t="str">
        <f ca="1">IFERROR(__xludf.DUMMYFUNCTION("GOOGLETRANSLATE(O592,""en"",""bn"")"),"জাকির গেইন")</f>
        <v>জাকির গেইন</v>
      </c>
      <c r="Q592" s="2" t="s">
        <v>1047</v>
      </c>
      <c r="S592" s="2" t="s">
        <v>1047</v>
      </c>
      <c r="V592" s="2" t="s">
        <v>1358</v>
      </c>
      <c r="W592" s="2">
        <v>2</v>
      </c>
    </row>
    <row r="593" spans="1:23" ht="15.75" customHeight="1" x14ac:dyDescent="0.35">
      <c r="A593" s="2" t="s">
        <v>23</v>
      </c>
      <c r="L593" s="2">
        <v>125</v>
      </c>
      <c r="M593" s="2" t="s">
        <v>160</v>
      </c>
      <c r="O593" s="2" t="s">
        <v>1359</v>
      </c>
      <c r="P593" s="2" t="str">
        <f ca="1">IFERROR(__xludf.DUMMYFUNCTION("GOOGLETRANSLATE(O593,""en"",""bn"")"),"এমডি. মুসা কারেমুল্লা")</f>
        <v>এমডি. মুসা কারেমুল্লা</v>
      </c>
      <c r="Q593" s="2" t="s">
        <v>1047</v>
      </c>
      <c r="S593" s="2" t="s">
        <v>1047</v>
      </c>
      <c r="V593" s="2" t="s">
        <v>1360</v>
      </c>
      <c r="W593" s="2">
        <v>2</v>
      </c>
    </row>
    <row r="594" spans="1:23" ht="15.75" customHeight="1" x14ac:dyDescent="0.35">
      <c r="A594" s="2" t="s">
        <v>23</v>
      </c>
      <c r="L594" s="2">
        <v>119</v>
      </c>
      <c r="M594" s="2" t="s">
        <v>327</v>
      </c>
      <c r="O594" s="2" t="s">
        <v>1361</v>
      </c>
      <c r="P594" s="2" t="str">
        <f ca="1">IFERROR(__xludf.DUMMYFUNCTION("GOOGLETRANSLATE(O594,""en"",""bn"")"),"হেমন্ত দাস")</f>
        <v>হেমন্ত দাস</v>
      </c>
      <c r="Q594" s="2" t="s">
        <v>30</v>
      </c>
      <c r="S594" s="2" t="s">
        <v>30</v>
      </c>
      <c r="V594" s="2" t="s">
        <v>1362</v>
      </c>
      <c r="W594" s="2">
        <v>2</v>
      </c>
    </row>
    <row r="595" spans="1:23" ht="15.75" customHeight="1" x14ac:dyDescent="0.35">
      <c r="A595" s="2" t="s">
        <v>23</v>
      </c>
      <c r="L595" s="2">
        <v>85</v>
      </c>
      <c r="M595" s="2" t="s">
        <v>387</v>
      </c>
      <c r="O595" s="2" t="s">
        <v>1363</v>
      </c>
      <c r="P595" s="2" t="str">
        <f ca="1">IFERROR(__xludf.DUMMYFUNCTION("GOOGLETRANSLATE(O595,""en"",""bn"")"),"প্রবীর দে")</f>
        <v>প্রবীর দে</v>
      </c>
      <c r="Q595" s="2" t="s">
        <v>92</v>
      </c>
      <c r="S595" s="2" t="s">
        <v>92</v>
      </c>
      <c r="V595" s="2" t="s">
        <v>1364</v>
      </c>
      <c r="W595" s="2">
        <v>2</v>
      </c>
    </row>
    <row r="596" spans="1:23" ht="15.75" customHeight="1" x14ac:dyDescent="0.35">
      <c r="A596" s="2" t="s">
        <v>23</v>
      </c>
      <c r="L596" s="2">
        <v>111</v>
      </c>
      <c r="M596" s="2" t="s">
        <v>369</v>
      </c>
      <c r="O596" s="2" t="s">
        <v>1365</v>
      </c>
      <c r="P596" s="2" t="str">
        <f ca="1">IFERROR(__xludf.DUMMYFUNCTION("GOOGLETRANSLATE(O596,""en"",""bn"")"),"স্বামীনাথ কোরি")</f>
        <v>স্বামীনাথ কোরি</v>
      </c>
      <c r="Q596" s="2" t="s">
        <v>49</v>
      </c>
      <c r="S596" s="2" t="s">
        <v>49</v>
      </c>
      <c r="V596" s="2" t="s">
        <v>1366</v>
      </c>
      <c r="W596" s="2">
        <v>2</v>
      </c>
    </row>
    <row r="597" spans="1:23" ht="15.75" customHeight="1" x14ac:dyDescent="0.35">
      <c r="A597" s="2" t="s">
        <v>23</v>
      </c>
      <c r="L597" s="2">
        <v>123</v>
      </c>
      <c r="M597" s="2" t="s">
        <v>208</v>
      </c>
      <c r="O597" s="2" t="s">
        <v>1367</v>
      </c>
      <c r="P597" s="2" t="str">
        <f ca="1">IFERROR(__xludf.DUMMYFUNCTION("GOOGLETRANSLATE(O597,""en"",""bn"")"),"সজল কুমার সর্দার")</f>
        <v>সজল কুমার সর্দার</v>
      </c>
      <c r="Q597" s="2" t="s">
        <v>1322</v>
      </c>
      <c r="S597" s="2" t="s">
        <v>1322</v>
      </c>
      <c r="V597" s="2" t="s">
        <v>1368</v>
      </c>
      <c r="W597" s="2">
        <v>2</v>
      </c>
    </row>
    <row r="598" spans="1:23" ht="15.75" customHeight="1" x14ac:dyDescent="0.35">
      <c r="A598" s="2" t="s">
        <v>23</v>
      </c>
      <c r="L598" s="2">
        <v>199</v>
      </c>
      <c r="M598" s="2" t="s">
        <v>244</v>
      </c>
      <c r="O598" s="2" t="s">
        <v>1369</v>
      </c>
      <c r="P598" s="2" t="str">
        <f ca="1">IFERROR(__xludf.DUMMYFUNCTION("GOOGLETRANSLATE(O598,""en"",""bn"")"),"শুভেন্দু ভট্টাচার্য")</f>
        <v>শুভেন্দু ভট্টাচার্য</v>
      </c>
      <c r="Q598" s="2" t="s">
        <v>1370</v>
      </c>
      <c r="S598" s="2" t="s">
        <v>1370</v>
      </c>
      <c r="V598" s="2" t="s">
        <v>1371</v>
      </c>
      <c r="W598" s="2">
        <v>2</v>
      </c>
    </row>
    <row r="599" spans="1:23" ht="15.75" customHeight="1" x14ac:dyDescent="0.35">
      <c r="A599" s="2" t="s">
        <v>23</v>
      </c>
      <c r="L599" s="2">
        <v>159</v>
      </c>
      <c r="M599" s="2" t="s">
        <v>157</v>
      </c>
      <c r="O599" s="2" t="s">
        <v>1372</v>
      </c>
      <c r="P599" s="2" t="str">
        <f ca="1">IFERROR(__xludf.DUMMYFUNCTION("GOOGLETRANSLATE(O599,""en"",""bn"")"),"অনুমিতা শ")</f>
        <v>অনুমিতা শ</v>
      </c>
      <c r="Q599" s="2" t="s">
        <v>92</v>
      </c>
      <c r="S599" s="2" t="s">
        <v>92</v>
      </c>
      <c r="V599" s="2" t="s">
        <v>1373</v>
      </c>
      <c r="W599" s="2">
        <v>2</v>
      </c>
    </row>
    <row r="600" spans="1:23" ht="15.75" customHeight="1" x14ac:dyDescent="0.35">
      <c r="A600" s="2" t="s">
        <v>23</v>
      </c>
      <c r="L600" s="2">
        <v>175</v>
      </c>
      <c r="M600" s="2" t="s">
        <v>330</v>
      </c>
      <c r="O600" s="2" t="s">
        <v>1374</v>
      </c>
      <c r="P600" s="2" t="str">
        <f ca="1">IFERROR(__xludf.DUMMYFUNCTION("GOOGLETRANSLATE(O600,""en"",""bn"")"),"শেখ মহিনউদ্দিন")</f>
        <v>শেখ মহিনউদ্দিন</v>
      </c>
      <c r="Q600" s="2" t="s">
        <v>1375</v>
      </c>
      <c r="S600" s="2" t="s">
        <v>1375</v>
      </c>
      <c r="V600" s="2" t="s">
        <v>1376</v>
      </c>
      <c r="W600" s="2">
        <v>2</v>
      </c>
    </row>
    <row r="601" spans="1:23" ht="15.75" customHeight="1" x14ac:dyDescent="0.35">
      <c r="A601" s="2" t="s">
        <v>23</v>
      </c>
      <c r="L601" s="2">
        <v>158</v>
      </c>
      <c r="M601" s="2" t="s">
        <v>57</v>
      </c>
      <c r="O601" s="2" t="s">
        <v>1377</v>
      </c>
      <c r="P601" s="2" t="str">
        <f ca="1">IFERROR(__xludf.DUMMYFUNCTION("GOOGLETRANSLATE(O601,""en"",""bn"")"),"রাকেশ সিং")</f>
        <v>রাকেশ সিং</v>
      </c>
      <c r="Q601" s="2" t="s">
        <v>34</v>
      </c>
      <c r="S601" s="2" t="s">
        <v>34</v>
      </c>
      <c r="V601" s="2" t="s">
        <v>1378</v>
      </c>
      <c r="W601" s="2">
        <v>2</v>
      </c>
    </row>
    <row r="602" spans="1:23" ht="15.75" customHeight="1" x14ac:dyDescent="0.35">
      <c r="A602" s="2" t="s">
        <v>23</v>
      </c>
      <c r="L602" s="2">
        <v>99</v>
      </c>
      <c r="M602" s="2" t="s">
        <v>268</v>
      </c>
      <c r="O602" s="2" t="s">
        <v>1379</v>
      </c>
      <c r="P602" s="2" t="str">
        <f ca="1">IFERROR(__xludf.DUMMYFUNCTION("GOOGLETRANSLATE(O602,""en"",""bn"")"),"ইব্রাহিম মোল্লা")</f>
        <v>ইব্রাহিম মোল্লা</v>
      </c>
      <c r="Q602" s="2" t="s">
        <v>1109</v>
      </c>
      <c r="S602" s="2" t="s">
        <v>1109</v>
      </c>
      <c r="V602" s="2" t="s">
        <v>1380</v>
      </c>
      <c r="W602" s="2">
        <v>2</v>
      </c>
    </row>
    <row r="603" spans="1:23" ht="15.75" customHeight="1" x14ac:dyDescent="0.35">
      <c r="A603" s="2" t="s">
        <v>23</v>
      </c>
      <c r="L603" s="2">
        <v>182</v>
      </c>
      <c r="M603" s="2" t="s">
        <v>97</v>
      </c>
      <c r="O603" s="2" t="s">
        <v>1381</v>
      </c>
      <c r="P603" s="2" t="str">
        <f ca="1">IFERROR(__xludf.DUMMYFUNCTION("GOOGLETRANSLATE(O603,""en"",""bn"")"),"লক্ষ্মীকান্ত মালিক")</f>
        <v>লক্ষ্মীকান্ত মালিক</v>
      </c>
      <c r="Q603" s="2" t="s">
        <v>1109</v>
      </c>
      <c r="S603" s="2" t="s">
        <v>1109</v>
      </c>
      <c r="V603" s="2" t="s">
        <v>1382</v>
      </c>
      <c r="W603" s="2">
        <v>2</v>
      </c>
    </row>
    <row r="604" spans="1:23" ht="15.75" customHeight="1" x14ac:dyDescent="0.35">
      <c r="A604" s="2" t="s">
        <v>23</v>
      </c>
      <c r="L604" s="2">
        <v>110</v>
      </c>
      <c r="M604" s="2" t="s">
        <v>259</v>
      </c>
      <c r="O604" s="2" t="s">
        <v>1383</v>
      </c>
      <c r="P604" s="2" t="str">
        <f ca="1">IFERROR(__xludf.DUMMYFUNCTION("GOOGLETRANSLATE(O604,""en"",""bn"")"),"সৌরভ সিকদার")</f>
        <v>সৌরভ সিকদার</v>
      </c>
      <c r="Q604" s="2" t="s">
        <v>34</v>
      </c>
      <c r="S604" s="2" t="s">
        <v>34</v>
      </c>
      <c r="V604" s="2" t="s">
        <v>1384</v>
      </c>
      <c r="W604" s="2">
        <v>2</v>
      </c>
    </row>
    <row r="605" spans="1:23" ht="15.75" customHeight="1" x14ac:dyDescent="0.35">
      <c r="A605" s="2" t="s">
        <v>23</v>
      </c>
      <c r="L605" s="2">
        <v>107</v>
      </c>
      <c r="M605" s="2" t="s">
        <v>32</v>
      </c>
      <c r="O605" s="2" t="s">
        <v>1385</v>
      </c>
      <c r="P605" s="2" t="str">
        <f ca="1">IFERROR(__xludf.DUMMYFUNCTION("GOOGLETRANSLATE(O605,""en"",""bn"")"),"মিনা মজুমদার")</f>
        <v>মিনা মজুমদার</v>
      </c>
      <c r="Q605" s="2" t="s">
        <v>49</v>
      </c>
      <c r="S605" s="2" t="s">
        <v>49</v>
      </c>
      <c r="V605" s="2" t="s">
        <v>1386</v>
      </c>
      <c r="W605" s="2">
        <v>2</v>
      </c>
    </row>
    <row r="606" spans="1:23" ht="15.75" customHeight="1" x14ac:dyDescent="0.35">
      <c r="A606" s="2" t="s">
        <v>23</v>
      </c>
      <c r="L606" s="2">
        <v>103</v>
      </c>
      <c r="M606" s="2" t="s">
        <v>199</v>
      </c>
      <c r="O606" s="2" t="s">
        <v>1387</v>
      </c>
      <c r="P606" s="2" t="str">
        <f ca="1">IFERROR(__xludf.DUMMYFUNCTION("GOOGLETRANSLATE(O606,""en"",""bn"")"),"সুবোধ আধিকারিক")</f>
        <v>সুবোধ আধিকারিক</v>
      </c>
      <c r="Q606" s="2" t="s">
        <v>26</v>
      </c>
      <c r="S606" s="2" t="s">
        <v>26</v>
      </c>
      <c r="V606" s="2" t="s">
        <v>1388</v>
      </c>
      <c r="W606" s="2">
        <v>2</v>
      </c>
    </row>
    <row r="607" spans="1:23" ht="15.75" customHeight="1" x14ac:dyDescent="0.35">
      <c r="A607" s="2" t="s">
        <v>23</v>
      </c>
      <c r="L607" s="2">
        <v>80</v>
      </c>
      <c r="M607" s="2" t="s">
        <v>175</v>
      </c>
      <c r="O607" s="2" t="s">
        <v>1389</v>
      </c>
      <c r="P607" s="2" t="str">
        <f ca="1">IFERROR(__xludf.DUMMYFUNCTION("GOOGLETRANSLATE(O607,""en"",""bn"")"),"শেখ কাবিল উদ্দিন")</f>
        <v>শেখ কাবিল উদ্দিন</v>
      </c>
      <c r="Q607" s="2" t="s">
        <v>41</v>
      </c>
      <c r="S607" s="2" t="s">
        <v>41</v>
      </c>
      <c r="V607" s="2" t="s">
        <v>1390</v>
      </c>
      <c r="W607" s="2">
        <v>2</v>
      </c>
    </row>
    <row r="608" spans="1:23" ht="15.75" customHeight="1" x14ac:dyDescent="0.35">
      <c r="A608" s="2" t="s">
        <v>23</v>
      </c>
      <c r="L608" s="2">
        <v>186</v>
      </c>
      <c r="M608" s="2" t="s">
        <v>250</v>
      </c>
      <c r="O608" s="2" t="s">
        <v>1391</v>
      </c>
      <c r="P608" s="2" t="str">
        <f ca="1">IFERROR(__xludf.DUMMYFUNCTION("GOOGLETRANSLATE(O608,""en"",""bn"")"),"সমীর সরকার")</f>
        <v>সমীর সরকার</v>
      </c>
      <c r="Q608" s="2" t="s">
        <v>92</v>
      </c>
      <c r="S608" s="2" t="s">
        <v>92</v>
      </c>
      <c r="V608" s="2" t="s">
        <v>1392</v>
      </c>
      <c r="W608" s="2">
        <v>2</v>
      </c>
    </row>
    <row r="609" spans="1:23" ht="15.75" customHeight="1" x14ac:dyDescent="0.35">
      <c r="A609" s="2" t="s">
        <v>23</v>
      </c>
      <c r="L609" s="2">
        <v>153</v>
      </c>
      <c r="M609" s="2" t="s">
        <v>345</v>
      </c>
      <c r="O609" s="2" t="s">
        <v>1393</v>
      </c>
      <c r="P609" s="2" t="str">
        <f ca="1">IFERROR(__xludf.DUMMYFUNCTION("GOOGLETRANSLATE(O609,""en"",""bn"")"),"সুভাষিশ চক্রবর্তী")</f>
        <v>সুভাষিশ চক্রবর্তী</v>
      </c>
      <c r="Q609" s="2" t="s">
        <v>26</v>
      </c>
      <c r="S609" s="2" t="s">
        <v>26</v>
      </c>
      <c r="V609" s="2" t="s">
        <v>1394</v>
      </c>
      <c r="W609" s="2">
        <v>2</v>
      </c>
    </row>
    <row r="610" spans="1:23" ht="15.75" customHeight="1" x14ac:dyDescent="0.35">
      <c r="A610" s="2" t="s">
        <v>23</v>
      </c>
      <c r="L610" s="2">
        <v>149</v>
      </c>
      <c r="M610" s="2" t="s">
        <v>51</v>
      </c>
      <c r="O610" s="2" t="s">
        <v>1395</v>
      </c>
      <c r="P610" s="2" t="str">
        <f ca="1">IFERROR(__xludf.DUMMYFUNCTION("GOOGLETRANSLATE(O610,""en"",""bn"")"),"সঞ্জীব বিশ্বাস")</f>
        <v>সঞ্জীব বিশ্বাস</v>
      </c>
      <c r="Q610" s="2" t="s">
        <v>49</v>
      </c>
      <c r="S610" s="2" t="s">
        <v>49</v>
      </c>
      <c r="V610" s="2" t="s">
        <v>1396</v>
      </c>
      <c r="W610" s="2">
        <v>2</v>
      </c>
    </row>
    <row r="611" spans="1:23" ht="15.75" customHeight="1" x14ac:dyDescent="0.35">
      <c r="A611" s="2" t="s">
        <v>23</v>
      </c>
      <c r="L611" s="2">
        <v>165</v>
      </c>
      <c r="M611" s="2" t="s">
        <v>390</v>
      </c>
      <c r="O611" s="2" t="s">
        <v>1397</v>
      </c>
      <c r="P611" s="2" t="str">
        <f ca="1">IFERROR(__xludf.DUMMYFUNCTION("GOOGLETRANSLATE(O611,""en"",""bn"")"),"আনসুমান মিত্র")</f>
        <v>আনসুমান মিত্র</v>
      </c>
      <c r="Q611" s="2" t="s">
        <v>92</v>
      </c>
      <c r="S611" s="2" t="s">
        <v>92</v>
      </c>
      <c r="V611" s="2" t="s">
        <v>1398</v>
      </c>
      <c r="W611" s="2">
        <v>2</v>
      </c>
    </row>
    <row r="612" spans="1:23" ht="15.75" customHeight="1" x14ac:dyDescent="0.35">
      <c r="A612" s="2" t="s">
        <v>23</v>
      </c>
      <c r="L612" s="2">
        <v>121</v>
      </c>
      <c r="M612" s="2" t="s">
        <v>348</v>
      </c>
      <c r="O612" s="2" t="s">
        <v>1399</v>
      </c>
      <c r="P612" s="2" t="str">
        <f ca="1">IFERROR(__xludf.DUMMYFUNCTION("GOOGLETRANSLATE(O612,""en"",""bn"")"),"এসকে. এমডি সাহিদ")</f>
        <v>এসকে. এমডি সাহিদ</v>
      </c>
      <c r="Q612" s="2" t="s">
        <v>1109</v>
      </c>
      <c r="S612" s="2" t="s">
        <v>1109</v>
      </c>
      <c r="V612" s="2" t="s">
        <v>1400</v>
      </c>
      <c r="W612" s="2">
        <v>2</v>
      </c>
    </row>
    <row r="613" spans="1:23" ht="15.75" customHeight="1" x14ac:dyDescent="0.35">
      <c r="A613" s="2" t="s">
        <v>23</v>
      </c>
      <c r="L613" s="2">
        <v>270</v>
      </c>
      <c r="M613" s="2" t="s">
        <v>315</v>
      </c>
      <c r="O613" s="2" t="s">
        <v>1401</v>
      </c>
      <c r="P613" s="2" t="str">
        <f ca="1">IFERROR(__xludf.DUMMYFUNCTION("GOOGLETRANSLATE(O613,""en"",""bn"")"),"সঞ্জীব কুমার দাস")</f>
        <v>সঞ্জীব কুমার দাস</v>
      </c>
      <c r="Q613" s="2" t="s">
        <v>45</v>
      </c>
      <c r="S613" s="2" t="s">
        <v>45</v>
      </c>
      <c r="V613" s="2" t="s">
        <v>1402</v>
      </c>
      <c r="W613" s="2">
        <v>2</v>
      </c>
    </row>
    <row r="614" spans="1:23" ht="15.75" customHeight="1" x14ac:dyDescent="0.35">
      <c r="A614" s="2" t="s">
        <v>23</v>
      </c>
      <c r="L614" s="2">
        <v>168</v>
      </c>
      <c r="M614" s="2" t="s">
        <v>100</v>
      </c>
      <c r="O614" s="2" t="s">
        <v>1403</v>
      </c>
      <c r="P614" s="2" t="str">
        <f ca="1">IFERROR(__xludf.DUMMYFUNCTION("GOOGLETRANSLATE(O614,""en"",""bn"")"),"তারক পাল")</f>
        <v>তারক পাল</v>
      </c>
      <c r="Q614" s="2" t="s">
        <v>41</v>
      </c>
      <c r="S614" s="2" t="s">
        <v>41</v>
      </c>
      <c r="V614" s="2" t="s">
        <v>1404</v>
      </c>
      <c r="W614" s="2">
        <v>2</v>
      </c>
    </row>
    <row r="615" spans="1:23" ht="15.75" customHeight="1" x14ac:dyDescent="0.35">
      <c r="A615" s="2" t="s">
        <v>23</v>
      </c>
      <c r="L615" s="2">
        <v>122</v>
      </c>
      <c r="M615" s="2" t="s">
        <v>232</v>
      </c>
      <c r="O615" s="2" t="s">
        <v>1405</v>
      </c>
      <c r="P615" s="2" t="str">
        <f ca="1">IFERROR(__xludf.DUMMYFUNCTION("GOOGLETRANSLATE(O615,""en"",""bn"")"),"দেবব্রত মন্ডল")</f>
        <v>দেবব্রত মন্ডল</v>
      </c>
      <c r="Q615" s="2" t="s">
        <v>1322</v>
      </c>
      <c r="S615" s="2" t="s">
        <v>1322</v>
      </c>
      <c r="V615" s="2" t="s">
        <v>1406</v>
      </c>
      <c r="W615" s="2">
        <v>2</v>
      </c>
    </row>
    <row r="616" spans="1:23" ht="15.75" customHeight="1" x14ac:dyDescent="0.35">
      <c r="A616" s="2" t="s">
        <v>23</v>
      </c>
      <c r="L616" s="2">
        <v>98</v>
      </c>
      <c r="M616" s="2" t="s">
        <v>115</v>
      </c>
      <c r="O616" s="2" t="s">
        <v>1407</v>
      </c>
      <c r="P616" s="2" t="str">
        <f ca="1">IFERROR(__xludf.DUMMYFUNCTION("GOOGLETRANSLATE(O616,""en"",""bn"")"),"দেবব্রত বিশ্বাস")</f>
        <v>দেবব্রত বিশ্বাস</v>
      </c>
      <c r="Q616" s="2" t="s">
        <v>92</v>
      </c>
      <c r="S616" s="2" t="s">
        <v>92</v>
      </c>
      <c r="V616" s="2" t="s">
        <v>1408</v>
      </c>
      <c r="W616" s="2">
        <v>2</v>
      </c>
    </row>
    <row r="617" spans="1:23" ht="15.75" customHeight="1" x14ac:dyDescent="0.35">
      <c r="A617" s="2" t="s">
        <v>23</v>
      </c>
      <c r="L617" s="2">
        <v>117</v>
      </c>
      <c r="M617" s="2" t="s">
        <v>277</v>
      </c>
      <c r="O617" s="2" t="s">
        <v>1409</v>
      </c>
      <c r="P617" s="2" t="str">
        <f ca="1">IFERROR(__xludf.DUMMYFUNCTION("GOOGLETRANSLATE(O617,""en"",""bn"")"),"অভিজিৎ পোদ্দার")</f>
        <v>অভিজিৎ পোদ্দার</v>
      </c>
      <c r="Q617" s="2" t="s">
        <v>1313</v>
      </c>
      <c r="S617" s="2" t="s">
        <v>1313</v>
      </c>
      <c r="V617" s="2" t="s">
        <v>1410</v>
      </c>
      <c r="W617" s="2">
        <v>2</v>
      </c>
    </row>
    <row r="618" spans="1:23" ht="15.75" customHeight="1" x14ac:dyDescent="0.35">
      <c r="A618" s="2" t="s">
        <v>23</v>
      </c>
      <c r="L618" s="2">
        <v>90</v>
      </c>
      <c r="M618" s="2" t="s">
        <v>280</v>
      </c>
      <c r="O618" s="2" t="s">
        <v>1411</v>
      </c>
      <c r="P618" s="2" t="str">
        <f ca="1">IFERROR(__xludf.DUMMYFUNCTION("GOOGLETRANSLATE(O618,""en"",""bn"")"),"সৌগত কুমার বর্মণ")</f>
        <v>সৌগত কুমার বর্মণ</v>
      </c>
      <c r="Q618" s="2" t="s">
        <v>26</v>
      </c>
      <c r="S618" s="2" t="s">
        <v>26</v>
      </c>
      <c r="V618" s="2" t="s">
        <v>1412</v>
      </c>
      <c r="W618" s="2">
        <v>2</v>
      </c>
    </row>
    <row r="619" spans="1:23" ht="15.75" customHeight="1" x14ac:dyDescent="0.35">
      <c r="A619" s="2" t="s">
        <v>23</v>
      </c>
      <c r="L619" s="2">
        <v>120</v>
      </c>
      <c r="M619" s="2" t="s">
        <v>309</v>
      </c>
      <c r="O619" s="2" t="s">
        <v>1413</v>
      </c>
      <c r="P619" s="2" t="str">
        <f ca="1">IFERROR(__xludf.DUMMYFUNCTION("GOOGLETRANSLATE(O619,""en"",""bn"")"),"আব্দুল নাঈম মল্লিক")</f>
        <v>আব্দুল নাঈম মল্লিক</v>
      </c>
      <c r="Q619" s="2" t="s">
        <v>1414</v>
      </c>
      <c r="S619" s="2" t="s">
        <v>1414</v>
      </c>
      <c r="V619" s="2" t="s">
        <v>1415</v>
      </c>
      <c r="W619" s="2">
        <v>2</v>
      </c>
    </row>
    <row r="620" spans="1:23" ht="15.75" customHeight="1" x14ac:dyDescent="0.35">
      <c r="A620" s="2" t="s">
        <v>23</v>
      </c>
      <c r="L620" s="2">
        <v>169</v>
      </c>
      <c r="M620" s="2" t="s">
        <v>90</v>
      </c>
      <c r="O620" s="2" t="s">
        <v>1416</v>
      </c>
      <c r="P620" s="2" t="str">
        <f ca="1">IFERROR(__xludf.DUMMYFUNCTION("GOOGLETRANSLATE(O620,""en"",""bn"")"),"সঞ্জয় সিং")</f>
        <v>সঞ্জয় সিং</v>
      </c>
      <c r="Q620" s="2" t="s">
        <v>1322</v>
      </c>
      <c r="S620" s="2" t="s">
        <v>1322</v>
      </c>
      <c r="V620" s="2" t="s">
        <v>1417</v>
      </c>
      <c r="W620" s="2">
        <v>2</v>
      </c>
    </row>
    <row r="621" spans="1:23" ht="15.75" customHeight="1" x14ac:dyDescent="0.35">
      <c r="A621" s="2" t="s">
        <v>23</v>
      </c>
      <c r="L621" s="2">
        <v>137</v>
      </c>
      <c r="M621" s="2" t="s">
        <v>372</v>
      </c>
      <c r="O621" s="2" t="s">
        <v>1418</v>
      </c>
      <c r="P621" s="2" t="str">
        <f ca="1">IFERROR(__xludf.DUMMYFUNCTION("GOOGLETRANSLATE(O621,""en"",""bn"")"),"স্বপন নস্কর")</f>
        <v>স্বপন নস্কর</v>
      </c>
      <c r="Q621" s="2" t="s">
        <v>45</v>
      </c>
      <c r="S621" s="2" t="s">
        <v>45</v>
      </c>
      <c r="V621" s="2" t="s">
        <v>1419</v>
      </c>
      <c r="W621" s="2">
        <v>2</v>
      </c>
    </row>
    <row r="622" spans="1:23" ht="15.75" customHeight="1" x14ac:dyDescent="0.35">
      <c r="A622" s="2" t="s">
        <v>23</v>
      </c>
      <c r="L622" s="2">
        <v>109</v>
      </c>
      <c r="M622" s="2" t="s">
        <v>336</v>
      </c>
      <c r="O622" s="2" t="s">
        <v>1420</v>
      </c>
      <c r="P622" s="2" t="str">
        <f ca="1">IFERROR(__xludf.DUMMYFUNCTION("GOOGLETRANSLATE(O622,""en"",""bn"")"),"দেবদীপ পুরোহিত")</f>
        <v>দেবদীপ পুরোহিত</v>
      </c>
      <c r="Q622" s="2" t="s">
        <v>26</v>
      </c>
      <c r="S622" s="2" t="s">
        <v>26</v>
      </c>
      <c r="V622" s="2" t="s">
        <v>1421</v>
      </c>
      <c r="W622" s="2">
        <v>2</v>
      </c>
    </row>
    <row r="623" spans="1:23" ht="15.75" customHeight="1" x14ac:dyDescent="0.35">
      <c r="A623" s="2" t="s">
        <v>23</v>
      </c>
      <c r="L623" s="2">
        <v>88</v>
      </c>
      <c r="M623" s="2" t="s">
        <v>306</v>
      </c>
      <c r="O623" s="2" t="s">
        <v>1422</v>
      </c>
      <c r="P623" s="2" t="str">
        <f ca="1">IFERROR(__xludf.DUMMYFUNCTION("GOOGLETRANSLATE(O623,""en"",""bn"")"),"সুকান্ত বিশ্বাস")</f>
        <v>সুকান্ত বিশ্বাস</v>
      </c>
      <c r="Q623" s="2" t="s">
        <v>34</v>
      </c>
      <c r="S623" s="2" t="s">
        <v>34</v>
      </c>
      <c r="V623" s="2" t="s">
        <v>1423</v>
      </c>
      <c r="W623" s="2">
        <v>2</v>
      </c>
    </row>
    <row r="624" spans="1:23" ht="15.75" customHeight="1" x14ac:dyDescent="0.35">
      <c r="A624" s="2" t="s">
        <v>23</v>
      </c>
      <c r="L624" s="2">
        <v>176</v>
      </c>
      <c r="M624" s="2" t="s">
        <v>139</v>
      </c>
      <c r="O624" s="2" t="s">
        <v>1424</v>
      </c>
      <c r="P624" s="2" t="str">
        <f ca="1">IFERROR(__xludf.DUMMYFUNCTION("GOOGLETRANSLATE(O624,""en"",""bn"")"),"লতিফুল রহমান মোল্লা")</f>
        <v>লতিফুল রহমান মোল্লা</v>
      </c>
      <c r="Q624" s="2" t="s">
        <v>1109</v>
      </c>
      <c r="S624" s="2" t="s">
        <v>1109</v>
      </c>
      <c r="V624" s="2" t="s">
        <v>1425</v>
      </c>
      <c r="W624" s="2">
        <v>2</v>
      </c>
    </row>
    <row r="625" spans="1:23" ht="15.75" customHeight="1" x14ac:dyDescent="0.35">
      <c r="A625" s="2" t="s">
        <v>23</v>
      </c>
      <c r="L625" s="2">
        <v>190</v>
      </c>
      <c r="M625" s="2" t="s">
        <v>300</v>
      </c>
      <c r="O625" s="2" t="s">
        <v>1426</v>
      </c>
      <c r="P625" s="2" t="str">
        <f ca="1">IFERROR(__xludf.DUMMYFUNCTION("GOOGLETRANSLATE(O625,""en"",""bn"")"),"সুবীর নাগ")</f>
        <v>সুবীর নাগ</v>
      </c>
      <c r="Q625" s="2" t="s">
        <v>34</v>
      </c>
      <c r="S625" s="2" t="s">
        <v>34</v>
      </c>
      <c r="V625" s="2" t="s">
        <v>1427</v>
      </c>
      <c r="W625" s="2">
        <v>2</v>
      </c>
    </row>
    <row r="626" spans="1:23" ht="15.75" customHeight="1" x14ac:dyDescent="0.35">
      <c r="A626" s="2" t="s">
        <v>23</v>
      </c>
      <c r="L626" s="2">
        <v>81</v>
      </c>
      <c r="M626" s="2" t="s">
        <v>217</v>
      </c>
      <c r="O626" s="2" t="s">
        <v>1428</v>
      </c>
      <c r="P626" s="2" t="str">
        <f ca="1">IFERROR(__xludf.DUMMYFUNCTION("GOOGLETRANSLATE(O626,""en"",""bn"")"),"শুক্লা সাহা")</f>
        <v>শুক্লা সাহা</v>
      </c>
      <c r="Q626" s="2" t="s">
        <v>45</v>
      </c>
      <c r="S626" s="2" t="s">
        <v>45</v>
      </c>
      <c r="V626" s="2" t="s">
        <v>1429</v>
      </c>
      <c r="W626" s="2">
        <v>2</v>
      </c>
    </row>
    <row r="627" spans="1:23" ht="15.75" customHeight="1" x14ac:dyDescent="0.35">
      <c r="A627" s="2" t="s">
        <v>23</v>
      </c>
      <c r="L627" s="2">
        <v>114</v>
      </c>
      <c r="M627" s="2" t="s">
        <v>303</v>
      </c>
      <c r="O627" s="2" t="s">
        <v>1430</v>
      </c>
      <c r="P627" s="2" t="str">
        <f ca="1">IFERROR(__xludf.DUMMYFUNCTION("GOOGLETRANSLATE(O627,""en"",""bn"")"),"সুস্মিতা বিশ্বাস")</f>
        <v>সুস্মিতা বিশ্বাস</v>
      </c>
      <c r="Q627" s="2" t="s">
        <v>41</v>
      </c>
      <c r="S627" s="2" t="s">
        <v>41</v>
      </c>
      <c r="V627" s="2" t="s">
        <v>1431</v>
      </c>
      <c r="W627" s="2">
        <v>2</v>
      </c>
    </row>
    <row r="628" spans="1:23" ht="15.75" customHeight="1" x14ac:dyDescent="0.35">
      <c r="A628" s="2" t="s">
        <v>23</v>
      </c>
      <c r="L628" s="2">
        <v>193</v>
      </c>
      <c r="M628" s="2" t="s">
        <v>118</v>
      </c>
      <c r="O628" s="2" t="s">
        <v>1432</v>
      </c>
      <c r="P628" s="2" t="str">
        <f ca="1">IFERROR(__xludf.DUMMYFUNCTION("GOOGLETRANSLATE(O628,""en"",""bn"")"),"পঞ্চু কোডালি")</f>
        <v>পঞ্চু কোডালি</v>
      </c>
      <c r="Q628" s="2" t="s">
        <v>1433</v>
      </c>
      <c r="S628" s="2" t="s">
        <v>1433</v>
      </c>
      <c r="V628" s="2" t="s">
        <v>1434</v>
      </c>
      <c r="W628" s="2">
        <v>2</v>
      </c>
    </row>
    <row r="629" spans="1:23" ht="15.75" customHeight="1" x14ac:dyDescent="0.35">
      <c r="A629" s="2" t="s">
        <v>23</v>
      </c>
      <c r="L629" s="2">
        <v>201</v>
      </c>
      <c r="M629" s="2" t="s">
        <v>339</v>
      </c>
      <c r="O629" s="2" t="s">
        <v>1435</v>
      </c>
      <c r="P629" s="2" t="str">
        <f ca="1">IFERROR(__xludf.DUMMYFUNCTION("GOOGLETRANSLATE(O629,""en"",""bn"")"),"হারাধান সন্ত্র")</f>
        <v>হারাধান সন্ত্র</v>
      </c>
      <c r="Q629" s="2" t="s">
        <v>41</v>
      </c>
      <c r="S629" s="2" t="s">
        <v>41</v>
      </c>
      <c r="V629" s="2" t="s">
        <v>1436</v>
      </c>
      <c r="W629" s="2">
        <v>2</v>
      </c>
    </row>
    <row r="630" spans="1:23" ht="15.75" customHeight="1" x14ac:dyDescent="0.35">
      <c r="A630" s="2" t="s">
        <v>23</v>
      </c>
      <c r="L630" s="2">
        <v>143</v>
      </c>
      <c r="M630" s="2" t="s">
        <v>163</v>
      </c>
      <c r="O630" s="2" t="s">
        <v>1437</v>
      </c>
      <c r="P630" s="2" t="str">
        <f ca="1">IFERROR(__xludf.DUMMYFUNCTION("GOOGLETRANSLATE(O630,""en"",""bn"")"),"সমর নাইয়া")</f>
        <v>সমর নাইয়া</v>
      </c>
      <c r="Q630" s="2" t="s">
        <v>45</v>
      </c>
      <c r="S630" s="2" t="s">
        <v>45</v>
      </c>
      <c r="V630" s="2" t="s">
        <v>1438</v>
      </c>
      <c r="W630" s="2">
        <v>2</v>
      </c>
    </row>
    <row r="631" spans="1:23" ht="15.75" customHeight="1" x14ac:dyDescent="0.35">
      <c r="A631" s="2" t="s">
        <v>23</v>
      </c>
      <c r="L631" s="2">
        <v>79</v>
      </c>
      <c r="M631" s="2" t="s">
        <v>103</v>
      </c>
      <c r="O631" s="2" t="s">
        <v>1439</v>
      </c>
      <c r="P631" s="2" t="str">
        <f ca="1">IFERROR(__xludf.DUMMYFUNCTION("GOOGLETRANSLATE(O631,""en"",""bn"")"),"আনারুল হক এসকে")</f>
        <v>আনারুল হক এসকে</v>
      </c>
      <c r="Q631" s="2" t="s">
        <v>92</v>
      </c>
      <c r="S631" s="2" t="s">
        <v>92</v>
      </c>
      <c r="V631" s="2" t="s">
        <v>1440</v>
      </c>
      <c r="W631" s="2">
        <v>2</v>
      </c>
    </row>
    <row r="632" spans="1:23" ht="15.75" customHeight="1" x14ac:dyDescent="0.35">
      <c r="A632" s="2" t="s">
        <v>23</v>
      </c>
      <c r="L632" s="2">
        <v>102</v>
      </c>
      <c r="M632" s="2" t="s">
        <v>169</v>
      </c>
      <c r="O632" s="2" t="s">
        <v>1441</v>
      </c>
      <c r="P632" s="2" t="str">
        <f ca="1">IFERROR(__xludf.DUMMYFUNCTION("GOOGLETRANSLATE(O632,""en"",""bn"")"),"আব্দুল সামাদ গাজী")</f>
        <v>আব্দুল সামাদ গাজী</v>
      </c>
      <c r="Q632" s="2" t="s">
        <v>1433</v>
      </c>
      <c r="S632" s="2" t="s">
        <v>1433</v>
      </c>
      <c r="V632" s="2" t="s">
        <v>1442</v>
      </c>
      <c r="W632" s="2">
        <v>2</v>
      </c>
    </row>
    <row r="633" spans="1:23" ht="15.75" customHeight="1" x14ac:dyDescent="0.35">
      <c r="A633" s="2" t="s">
        <v>23</v>
      </c>
      <c r="L633" s="2">
        <v>97</v>
      </c>
      <c r="M633" s="2" t="s">
        <v>423</v>
      </c>
      <c r="O633" s="2" t="s">
        <v>1443</v>
      </c>
      <c r="P633" s="2" t="str">
        <f ca="1">IFERROR(__xludf.DUMMYFUNCTION("GOOGLETRANSLATE(O633,""en"",""bn"")"),"শিবানী মজুমদার")</f>
        <v>শিবানী মজুমদার</v>
      </c>
      <c r="Q633" s="2" t="s">
        <v>92</v>
      </c>
      <c r="S633" s="2" t="s">
        <v>92</v>
      </c>
      <c r="V633" s="2" t="s">
        <v>1444</v>
      </c>
      <c r="W633" s="2">
        <v>2</v>
      </c>
    </row>
    <row r="634" spans="1:23" ht="15.75" customHeight="1" x14ac:dyDescent="0.35">
      <c r="A634" s="2" t="s">
        <v>23</v>
      </c>
      <c r="L634" s="2">
        <v>84</v>
      </c>
      <c r="M634" s="2" t="s">
        <v>297</v>
      </c>
      <c r="O634" s="2" t="s">
        <v>1445</v>
      </c>
      <c r="P634" s="2" t="str">
        <f ca="1">IFERROR(__xludf.DUMMYFUNCTION("GOOGLETRANSLATE(O634,""en"",""bn"")"),"স্বর্ণেন্দু সিনহা")</f>
        <v>স্বর্ণেন্দু সিনহা</v>
      </c>
      <c r="Q634" s="2" t="s">
        <v>45</v>
      </c>
      <c r="S634" s="2" t="s">
        <v>45</v>
      </c>
      <c r="V634" s="2" t="s">
        <v>1446</v>
      </c>
      <c r="W634" s="2">
        <v>2</v>
      </c>
    </row>
    <row r="635" spans="1:23" ht="15.75" customHeight="1" x14ac:dyDescent="0.35">
      <c r="A635" s="2" t="s">
        <v>23</v>
      </c>
      <c r="L635" s="2">
        <v>177</v>
      </c>
      <c r="M635" s="2" t="s">
        <v>66</v>
      </c>
      <c r="O635" s="2" t="s">
        <v>1447</v>
      </c>
      <c r="P635" s="2" t="str">
        <f ca="1">IFERROR(__xludf.DUMMYFUNCTION("GOOGLETRANSLATE(O635,""en"",""bn"")"),"সত্যজিৎ পোলি")</f>
        <v>সত্যজিৎ পোলি</v>
      </c>
      <c r="Q635" s="2" t="s">
        <v>1109</v>
      </c>
      <c r="S635" s="2" t="s">
        <v>1109</v>
      </c>
      <c r="V635" s="2" t="s">
        <v>1448</v>
      </c>
      <c r="W635" s="2">
        <v>2</v>
      </c>
    </row>
    <row r="636" spans="1:23" ht="15.75" customHeight="1" x14ac:dyDescent="0.35">
      <c r="A636" s="2" t="s">
        <v>23</v>
      </c>
      <c r="L636" s="2">
        <v>261</v>
      </c>
      <c r="M636" s="2" t="s">
        <v>184</v>
      </c>
      <c r="O636" s="2" t="s">
        <v>1449</v>
      </c>
      <c r="P636" s="2" t="str">
        <f ca="1">IFERROR(__xludf.DUMMYFUNCTION("GOOGLETRANSLATE(O636,""en"",""bn"")"),"পরেশ চন্দ্র ব্যাগ")</f>
        <v>পরেশ চন্দ্র ব্যাগ</v>
      </c>
      <c r="Q636" s="2" t="s">
        <v>1109</v>
      </c>
      <c r="S636" s="2" t="s">
        <v>1109</v>
      </c>
      <c r="V636" s="2" t="s">
        <v>1450</v>
      </c>
      <c r="W636" s="2">
        <v>2</v>
      </c>
    </row>
    <row r="637" spans="1:23" ht="15.75" customHeight="1" x14ac:dyDescent="0.35">
      <c r="A637" s="2" t="s">
        <v>23</v>
      </c>
      <c r="L637" s="2">
        <v>194</v>
      </c>
      <c r="M637" s="2" t="s">
        <v>205</v>
      </c>
      <c r="O637" s="2" t="s">
        <v>1451</v>
      </c>
      <c r="P637" s="2" t="str">
        <f ca="1">IFERROR(__xludf.DUMMYFUNCTION("GOOGLETRANSLATE(O637,""en"",""bn"")"),"এমডি আবুল হাসান গায়েন")</f>
        <v>এমডি আবুল হাসান গায়েন</v>
      </c>
      <c r="Q637" s="2" t="s">
        <v>1109</v>
      </c>
      <c r="S637" s="2" t="s">
        <v>1109</v>
      </c>
      <c r="V637" s="2" t="s">
        <v>1452</v>
      </c>
      <c r="W637" s="2">
        <v>2</v>
      </c>
    </row>
    <row r="638" spans="1:23" ht="15.75" customHeight="1" x14ac:dyDescent="0.35">
      <c r="A638" s="2" t="s">
        <v>23</v>
      </c>
      <c r="L638" s="2">
        <v>82</v>
      </c>
      <c r="M638" s="2" t="s">
        <v>375</v>
      </c>
      <c r="O638" s="2" t="s">
        <v>1453</v>
      </c>
      <c r="P638" s="2" t="str">
        <f ca="1">IFERROR(__xludf.DUMMYFUNCTION("GOOGLETRANSLATE(O638,""en"",""bn"")"),"জাকির হোসেন মন্ডল")</f>
        <v>জাকির হোসেন মন্ডল</v>
      </c>
      <c r="Q638" s="2" t="s">
        <v>1047</v>
      </c>
      <c r="S638" s="2" t="s">
        <v>1047</v>
      </c>
      <c r="V638" s="2" t="s">
        <v>1454</v>
      </c>
      <c r="W638" s="2">
        <v>2</v>
      </c>
    </row>
    <row r="639" spans="1:23" ht="15.75" customHeight="1" x14ac:dyDescent="0.35">
      <c r="A639" s="2" t="s">
        <v>23</v>
      </c>
      <c r="L639" s="2">
        <v>95</v>
      </c>
      <c r="M639" s="2" t="s">
        <v>142</v>
      </c>
      <c r="O639" s="2" t="s">
        <v>1455</v>
      </c>
      <c r="P639" s="2" t="str">
        <f ca="1">IFERROR(__xludf.DUMMYFUNCTION("GOOGLETRANSLATE(O639,""en"",""bn"")"),"সুব্রত বিশ্বাস")</f>
        <v>সুব্রত বিশ্বাস</v>
      </c>
      <c r="Q639" s="2" t="s">
        <v>49</v>
      </c>
      <c r="S639" s="2" t="s">
        <v>49</v>
      </c>
      <c r="V639" s="2" t="s">
        <v>1456</v>
      </c>
      <c r="W639" s="2">
        <v>2</v>
      </c>
    </row>
    <row r="640" spans="1:23" ht="15.75" customHeight="1" x14ac:dyDescent="0.35">
      <c r="A640" s="2" t="s">
        <v>23</v>
      </c>
      <c r="L640" s="2">
        <v>170</v>
      </c>
      <c r="M640" s="2" t="s">
        <v>438</v>
      </c>
      <c r="O640" s="2" t="s">
        <v>1457</v>
      </c>
      <c r="P640" s="2" t="str">
        <f ca="1">IFERROR(__xludf.DUMMYFUNCTION("GOOGLETRANSLATE(O640,""en"",""bn"")"),"প্রীতি দেবী")</f>
        <v>প্রীতি দেবী</v>
      </c>
      <c r="Q640" s="2" t="s">
        <v>49</v>
      </c>
      <c r="S640" s="2" t="s">
        <v>49</v>
      </c>
      <c r="V640" s="2" t="s">
        <v>1458</v>
      </c>
      <c r="W640" s="2">
        <v>2</v>
      </c>
    </row>
    <row r="641" spans="1:23" ht="15.75" customHeight="1" x14ac:dyDescent="0.35">
      <c r="A641" s="2" t="s">
        <v>23</v>
      </c>
      <c r="L641" s="2">
        <v>138</v>
      </c>
      <c r="M641" s="2" t="s">
        <v>145</v>
      </c>
      <c r="O641" s="2" t="s">
        <v>1459</v>
      </c>
      <c r="P641" s="2" t="str">
        <f ca="1">IFERROR(__xludf.DUMMYFUNCTION("GOOGLETRANSLATE(O641,""en"",""bn"")"),"রামপ্রসাদ মিস্ট্রি")</f>
        <v>রামপ্রসাদ মিস্ট্রি</v>
      </c>
      <c r="Q641" s="2" t="s">
        <v>92</v>
      </c>
      <c r="S641" s="2" t="s">
        <v>92</v>
      </c>
      <c r="V641" s="2" t="s">
        <v>1460</v>
      </c>
      <c r="W641" s="2">
        <v>2</v>
      </c>
    </row>
    <row r="642" spans="1:23" ht="15.75" customHeight="1" x14ac:dyDescent="0.35">
      <c r="A642" s="2" t="s">
        <v>23</v>
      </c>
      <c r="L642" s="2">
        <v>105</v>
      </c>
      <c r="M642" s="2" t="s">
        <v>342</v>
      </c>
      <c r="O642" s="2" t="s">
        <v>1461</v>
      </c>
      <c r="P642" s="2" t="str">
        <f ca="1">IFERROR(__xludf.DUMMYFUNCTION("GOOGLETRANSLATE(O642,""en"",""bn"")"),"সদানন্দ রাজাক")</f>
        <v>সদানন্দ রাজাক</v>
      </c>
      <c r="Q642" s="2" t="s">
        <v>49</v>
      </c>
      <c r="S642" s="2" t="s">
        <v>49</v>
      </c>
      <c r="V642" s="2" t="s">
        <v>1462</v>
      </c>
      <c r="W642" s="2">
        <v>2</v>
      </c>
    </row>
    <row r="643" spans="1:23" ht="15.75" customHeight="1" x14ac:dyDescent="0.35">
      <c r="A643" s="2" t="s">
        <v>23</v>
      </c>
      <c r="L643" s="2">
        <v>112</v>
      </c>
      <c r="M643" s="2" t="s">
        <v>196</v>
      </c>
      <c r="O643" s="2" t="s">
        <v>1463</v>
      </c>
      <c r="P643" s="2" t="str">
        <f ca="1">IFERROR(__xludf.DUMMYFUNCTION("GOOGLETRANSLATE(O643,""en"",""bn"")"),"সাইফুদ্দিন মন্ডল")</f>
        <v>সাইফুদ্দিন মন্ডল</v>
      </c>
      <c r="Q643" s="2" t="s">
        <v>1109</v>
      </c>
      <c r="S643" s="2" t="s">
        <v>1109</v>
      </c>
      <c r="V643" s="2" t="s">
        <v>1464</v>
      </c>
      <c r="W643" s="2">
        <v>2</v>
      </c>
    </row>
    <row r="644" spans="1:23" ht="15.75" customHeight="1" x14ac:dyDescent="0.35">
      <c r="A644" s="2" t="s">
        <v>23</v>
      </c>
      <c r="L644" s="2">
        <v>164</v>
      </c>
      <c r="M644" s="2" t="s">
        <v>402</v>
      </c>
      <c r="O644" s="2" t="s">
        <v>1465</v>
      </c>
      <c r="P644" s="2" t="str">
        <f ca="1">IFERROR(__xludf.DUMMYFUNCTION("GOOGLETRANSLATE(O644,""en"",""bn"")"),"জয়ন্তী মিত্র")</f>
        <v>জয়ন্তী মিত্র</v>
      </c>
      <c r="Q644" s="2" t="s">
        <v>92</v>
      </c>
      <c r="S644" s="2" t="s">
        <v>92</v>
      </c>
      <c r="V644" s="2" t="s">
        <v>1466</v>
      </c>
      <c r="W644" s="2">
        <v>2</v>
      </c>
    </row>
    <row r="645" spans="1:23" ht="15.75" customHeight="1" x14ac:dyDescent="0.35">
      <c r="A645" s="2" t="s">
        <v>23</v>
      </c>
      <c r="L645" s="2">
        <v>93</v>
      </c>
      <c r="M645" s="2" t="s">
        <v>187</v>
      </c>
      <c r="O645" s="2" t="s">
        <v>1467</v>
      </c>
      <c r="P645" s="2" t="str">
        <f ca="1">IFERROR(__xludf.DUMMYFUNCTION("GOOGLETRANSLATE(O645,""en"",""bn"")"),"হিমন্তি দাস")</f>
        <v>হিমন্তি দাস</v>
      </c>
      <c r="Q645" s="2" t="s">
        <v>41</v>
      </c>
      <c r="S645" s="2" t="s">
        <v>41</v>
      </c>
      <c r="V645" s="2" t="s">
        <v>1468</v>
      </c>
      <c r="W645" s="2">
        <v>2</v>
      </c>
    </row>
    <row r="646" spans="1:23" ht="15.75" customHeight="1" x14ac:dyDescent="0.35">
      <c r="A646" s="2" t="s">
        <v>23</v>
      </c>
      <c r="L646" s="2">
        <v>155</v>
      </c>
      <c r="M646" s="2" t="s">
        <v>262</v>
      </c>
      <c r="O646" s="2" t="s">
        <v>1469</v>
      </c>
      <c r="P646" s="2" t="str">
        <f ca="1">IFERROR(__xludf.DUMMYFUNCTION("GOOGLETRANSLATE(O646,""en"",""bn"")"),"সায়ন ব্যানার্জী")</f>
        <v>সায়ন ব্যানার্জী</v>
      </c>
      <c r="Q646" s="2" t="s">
        <v>45</v>
      </c>
      <c r="S646" s="2" t="s">
        <v>45</v>
      </c>
      <c r="V646" s="2" t="s">
        <v>1470</v>
      </c>
      <c r="W646" s="2">
        <v>2</v>
      </c>
    </row>
    <row r="647" spans="1:23" ht="15.75" customHeight="1" x14ac:dyDescent="0.35">
      <c r="A647" s="2" t="s">
        <v>23</v>
      </c>
      <c r="L647" s="2">
        <v>101</v>
      </c>
      <c r="M647" s="2" t="s">
        <v>154</v>
      </c>
      <c r="O647" s="2" t="s">
        <v>1471</v>
      </c>
      <c r="P647" s="2" t="str">
        <f ca="1">IFERROR(__xludf.DUMMYFUNCTION("GOOGLETRANSLATE(O647,""en"",""bn"")"),"তাপস ব্যানার্জী")</f>
        <v>তাপস ব্যানার্জী</v>
      </c>
      <c r="Q647" s="2" t="s">
        <v>1047</v>
      </c>
      <c r="S647" s="2" t="s">
        <v>1047</v>
      </c>
      <c r="V647" s="2" t="s">
        <v>1472</v>
      </c>
      <c r="W647" s="2">
        <v>2</v>
      </c>
    </row>
    <row r="648" spans="1:23" ht="15.75" customHeight="1" x14ac:dyDescent="0.35">
      <c r="A648" s="2" t="s">
        <v>23</v>
      </c>
      <c r="L648" s="2">
        <v>100</v>
      </c>
      <c r="M648" s="2" t="s">
        <v>69</v>
      </c>
      <c r="O648" s="2" t="s">
        <v>1473</v>
      </c>
      <c r="P648" s="2" t="str">
        <f ca="1">IFERROR(__xludf.DUMMYFUNCTION("GOOGLETRANSLATE(O648,""en"",""bn"")"),"প্রণব ভট্টাচার্য")</f>
        <v>প্রণব ভট্টাচার্য</v>
      </c>
      <c r="Q648" s="2" t="s">
        <v>41</v>
      </c>
      <c r="S648" s="2" t="s">
        <v>41</v>
      </c>
      <c r="V648" s="2" t="s">
        <v>1474</v>
      </c>
      <c r="W648" s="2">
        <v>2</v>
      </c>
    </row>
    <row r="649" spans="1:23" ht="15.75" customHeight="1" x14ac:dyDescent="0.35">
      <c r="A649" s="2" t="s">
        <v>23</v>
      </c>
      <c r="L649" s="2">
        <v>89</v>
      </c>
      <c r="M649" s="2" t="s">
        <v>426</v>
      </c>
      <c r="O649" s="2" t="s">
        <v>1475</v>
      </c>
      <c r="P649" s="2" t="str">
        <f ca="1">IFERROR(__xludf.DUMMYFUNCTION("GOOGLETRANSLATE(O649,""en"",""bn"")"),"মৃণাল বিশ্বাস (MINI)")</f>
        <v>মৃণাল বিশ্বাস (MINI)</v>
      </c>
      <c r="Q649" s="2" t="s">
        <v>45</v>
      </c>
      <c r="S649" s="2" t="s">
        <v>45</v>
      </c>
      <c r="V649" s="2" t="s">
        <v>1476</v>
      </c>
      <c r="W649" s="2">
        <v>2</v>
      </c>
    </row>
    <row r="650" spans="1:23" ht="15.75" customHeight="1" x14ac:dyDescent="0.35">
      <c r="A650" s="2" t="s">
        <v>23</v>
      </c>
      <c r="L650" s="2">
        <v>266</v>
      </c>
      <c r="M650" s="2" t="s">
        <v>214</v>
      </c>
      <c r="O650" s="2" t="s">
        <v>1477</v>
      </c>
      <c r="P650" s="2" t="str">
        <f ca="1">IFERROR(__xludf.DUMMYFUNCTION("GOOGLETRANSLATE(O650,""en"",""bn"")"),"সুদীপ দাস")</f>
        <v>সুদীপ দাস</v>
      </c>
      <c r="Q650" s="2" t="s">
        <v>41</v>
      </c>
      <c r="S650" s="2" t="s">
        <v>41</v>
      </c>
      <c r="V650" s="2" t="s">
        <v>1478</v>
      </c>
      <c r="W650" s="2">
        <v>2</v>
      </c>
    </row>
    <row r="651" spans="1:23" ht="15.75" customHeight="1" x14ac:dyDescent="0.35">
      <c r="A651" s="2" t="s">
        <v>23</v>
      </c>
      <c r="L651" s="2">
        <v>265</v>
      </c>
      <c r="M651" s="2" t="s">
        <v>420</v>
      </c>
      <c r="O651" s="2" t="s">
        <v>1479</v>
      </c>
      <c r="P651" s="2" t="str">
        <f ca="1">IFERROR(__xludf.DUMMYFUNCTION("GOOGLETRANSLATE(O651,""en"",""bn"")"),"রাশ বিহারী হালদার")</f>
        <v>রাশ বিহারী হালদার</v>
      </c>
      <c r="Q651" s="2" t="s">
        <v>26</v>
      </c>
      <c r="S651" s="2" t="s">
        <v>26</v>
      </c>
      <c r="V651" s="2" t="s">
        <v>1480</v>
      </c>
      <c r="W651" s="2">
        <v>2</v>
      </c>
    </row>
    <row r="652" spans="1:23" ht="15.75" customHeight="1" x14ac:dyDescent="0.35">
      <c r="A652" s="2" t="s">
        <v>23</v>
      </c>
      <c r="L652" s="2">
        <v>160</v>
      </c>
      <c r="M652" s="2" t="s">
        <v>72</v>
      </c>
      <c r="O652" s="2" t="s">
        <v>1481</v>
      </c>
      <c r="P652" s="2" t="str">
        <f ca="1">IFERROR(__xludf.DUMMYFUNCTION("GOOGLETRANSLATE(O652,""en"",""bn"")"),"মানস ঘোষ")</f>
        <v>মানস ঘোষ</v>
      </c>
      <c r="Q652" s="2" t="s">
        <v>1038</v>
      </c>
      <c r="S652" s="2" t="s">
        <v>1038</v>
      </c>
      <c r="V652" s="2" t="s">
        <v>1482</v>
      </c>
      <c r="W652" s="2">
        <v>2</v>
      </c>
    </row>
    <row r="653" spans="1:23" ht="15.75" customHeight="1" x14ac:dyDescent="0.35">
      <c r="A653" s="2" t="s">
        <v>23</v>
      </c>
      <c r="L653" s="2">
        <v>262</v>
      </c>
      <c r="M653" s="2" t="s">
        <v>417</v>
      </c>
      <c r="O653" s="2" t="s">
        <v>1483</v>
      </c>
      <c r="P653" s="2" t="str">
        <f ca="1">IFERROR(__xludf.DUMMYFUNCTION("GOOGLETRANSLATE(O653,""en"",""bn"")"),"সামার হাজরা")</f>
        <v>সামার হাজরা</v>
      </c>
      <c r="Q653" s="2" t="s">
        <v>45</v>
      </c>
      <c r="S653" s="2" t="s">
        <v>45</v>
      </c>
      <c r="V653" s="2" t="s">
        <v>1484</v>
      </c>
      <c r="W653" s="2">
        <v>2</v>
      </c>
    </row>
    <row r="654" spans="1:23" ht="15.75" customHeight="1" x14ac:dyDescent="0.35">
      <c r="A654" s="2" t="s">
        <v>23</v>
      </c>
      <c r="L654" s="2">
        <v>141</v>
      </c>
      <c r="M654" s="2" t="s">
        <v>63</v>
      </c>
      <c r="O654" s="2" t="s">
        <v>1485</v>
      </c>
      <c r="P654" s="2" t="str">
        <f ca="1">IFERROR(__xludf.DUMMYFUNCTION("GOOGLETRANSLATE(O654,""en"",""bn"")"),"শর্মিষ্ঠা পুরকাইত")</f>
        <v>শর্মিষ্ঠা পুরকাইত</v>
      </c>
      <c r="Q654" s="2" t="s">
        <v>26</v>
      </c>
      <c r="S654" s="2" t="s">
        <v>26</v>
      </c>
      <c r="V654" s="2" t="s">
        <v>1486</v>
      </c>
      <c r="W654" s="2">
        <v>2</v>
      </c>
    </row>
    <row r="655" spans="1:23" ht="15.75" customHeight="1" x14ac:dyDescent="0.35">
      <c r="A655" s="2" t="s">
        <v>23</v>
      </c>
      <c r="L655" s="2">
        <v>179</v>
      </c>
      <c r="M655" s="2" t="s">
        <v>435</v>
      </c>
      <c r="O655" s="2" t="s">
        <v>1487</v>
      </c>
      <c r="P655" s="2" t="str">
        <f ca="1">IFERROR(__xludf.DUMMYFUNCTION("GOOGLETRANSLATE(O655,""en"",""bn"")"),"অলোক দলপতি")</f>
        <v>অলোক দলপতি</v>
      </c>
      <c r="Q655" s="2" t="s">
        <v>92</v>
      </c>
      <c r="S655" s="2" t="s">
        <v>92</v>
      </c>
      <c r="V655" s="2" t="s">
        <v>1488</v>
      </c>
      <c r="W655" s="2">
        <v>2</v>
      </c>
    </row>
    <row r="656" spans="1:23" ht="15.75" customHeight="1" x14ac:dyDescent="0.35">
      <c r="A656" s="2" t="s">
        <v>23</v>
      </c>
      <c r="L656" s="2">
        <v>274</v>
      </c>
      <c r="M656" s="2" t="s">
        <v>366</v>
      </c>
      <c r="O656" s="2" t="s">
        <v>1489</v>
      </c>
      <c r="P656" s="2" t="str">
        <f ca="1">IFERROR(__xludf.DUMMYFUNCTION("GOOGLETRANSLATE(O656,""en"",""bn"")"),"রাজু পাত্র")</f>
        <v>রাজু পাত্র</v>
      </c>
      <c r="Q656" s="2" t="s">
        <v>34</v>
      </c>
      <c r="S656" s="2" t="s">
        <v>34</v>
      </c>
      <c r="V656" s="2" t="s">
        <v>1490</v>
      </c>
      <c r="W656" s="2">
        <v>2</v>
      </c>
    </row>
    <row r="657" spans="1:23" ht="15.75" customHeight="1" x14ac:dyDescent="0.35">
      <c r="A657" s="2" t="s">
        <v>23</v>
      </c>
      <c r="L657" s="2">
        <v>267</v>
      </c>
      <c r="M657" s="2" t="s">
        <v>54</v>
      </c>
      <c r="O657" s="2" t="s">
        <v>1491</v>
      </c>
      <c r="P657" s="2" t="str">
        <f ca="1">IFERROR(__xludf.DUMMYFUNCTION("GOOGLETRANSLATE(O657,""en"",""bn"")"),"হাসিনা খাতুন")</f>
        <v>হাসিনা খাতুন</v>
      </c>
      <c r="Q657" s="2" t="s">
        <v>45</v>
      </c>
      <c r="S657" s="2" t="s">
        <v>45</v>
      </c>
      <c r="V657" s="2" t="s">
        <v>1492</v>
      </c>
      <c r="W657" s="2">
        <v>2</v>
      </c>
    </row>
    <row r="658" spans="1:23" ht="15.75" customHeight="1" x14ac:dyDescent="0.35">
      <c r="A658" s="2" t="s">
        <v>23</v>
      </c>
      <c r="L658" s="2">
        <v>272</v>
      </c>
      <c r="M658" s="2" t="s">
        <v>357</v>
      </c>
      <c r="O658" s="2" t="s">
        <v>1493</v>
      </c>
      <c r="P658" s="2" t="str">
        <f ca="1">IFERROR(__xludf.DUMMYFUNCTION("GOOGLETRANSLATE(O658,""en"",""bn"")"),"শিশির ঘোষ")</f>
        <v>শিশির ঘোষ</v>
      </c>
      <c r="Q658" s="2" t="s">
        <v>34</v>
      </c>
      <c r="S658" s="2" t="s">
        <v>34</v>
      </c>
      <c r="V658" s="2" t="s">
        <v>1494</v>
      </c>
      <c r="W658" s="2">
        <v>2</v>
      </c>
    </row>
    <row r="659" spans="1:23" ht="15.75" customHeight="1" x14ac:dyDescent="0.35">
      <c r="A659" s="2" t="s">
        <v>23</v>
      </c>
      <c r="L659" s="2">
        <v>77</v>
      </c>
      <c r="M659" s="2" t="s">
        <v>202</v>
      </c>
      <c r="O659" s="2" t="s">
        <v>1495</v>
      </c>
      <c r="P659" s="2" t="str">
        <f ca="1">IFERROR(__xludf.DUMMYFUNCTION("GOOGLETRANSLATE(O659,""en"",""bn"")"),"সোহাম চক্রবর্তী")</f>
        <v>সোহাম চক্রবর্তী</v>
      </c>
      <c r="Q659" s="2" t="s">
        <v>26</v>
      </c>
      <c r="S659" s="2" t="s">
        <v>26</v>
      </c>
      <c r="V659" s="2" t="s">
        <v>1496</v>
      </c>
      <c r="W659" s="2">
        <v>2</v>
      </c>
    </row>
    <row r="660" spans="1:23" ht="15.75" customHeight="1" x14ac:dyDescent="0.35">
      <c r="A660" s="2" t="s">
        <v>23</v>
      </c>
      <c r="L660" s="2">
        <v>200</v>
      </c>
      <c r="M660" s="2" t="s">
        <v>151</v>
      </c>
      <c r="O660" s="2" t="s">
        <v>1497</v>
      </c>
      <c r="P660" s="2" t="str">
        <f ca="1">IFERROR(__xludf.DUMMYFUNCTION("GOOGLETRANSLATE(O660,""en"",""bn"")"),"সুশীল সান্ত্রা")</f>
        <v>সুশীল সান্ত্রা</v>
      </c>
      <c r="Q660" s="2" t="s">
        <v>41</v>
      </c>
      <c r="S660" s="2" t="s">
        <v>41</v>
      </c>
      <c r="V660" s="2" t="s">
        <v>1498</v>
      </c>
      <c r="W660" s="2">
        <v>2</v>
      </c>
    </row>
    <row r="661" spans="1:23" ht="15.75" customHeight="1" x14ac:dyDescent="0.35">
      <c r="A661" s="2" t="s">
        <v>23</v>
      </c>
      <c r="L661" s="2">
        <v>94</v>
      </c>
      <c r="M661" s="2" t="s">
        <v>253</v>
      </c>
      <c r="O661" s="2" t="s">
        <v>1499</v>
      </c>
      <c r="P661" s="2" t="str">
        <f ca="1">IFERROR(__xludf.DUMMYFUNCTION("GOOGLETRANSLATE(O661,""en"",""bn"")"),"সোমা ঠাকুর")</f>
        <v>সোমা ঠাকুর</v>
      </c>
      <c r="Q661" s="2" t="s">
        <v>34</v>
      </c>
      <c r="S661" s="2" t="s">
        <v>34</v>
      </c>
      <c r="V661" s="2" t="s">
        <v>1500</v>
      </c>
      <c r="W661" s="2">
        <v>2</v>
      </c>
    </row>
    <row r="662" spans="1:23" ht="15.75" customHeight="1" x14ac:dyDescent="0.35">
      <c r="A662" s="2" t="s">
        <v>23</v>
      </c>
      <c r="L662" s="2">
        <v>260</v>
      </c>
      <c r="M662" s="2" t="s">
        <v>292</v>
      </c>
      <c r="O662" s="2" t="s">
        <v>1501</v>
      </c>
      <c r="P662" s="2" t="str">
        <f ca="1">IFERROR(__xludf.DUMMYFUNCTION("GOOGLETRANSLATE(O662,""en"",""bn"")"),"সুদীপ্ত গুপ্তা")</f>
        <v>সুদীপ্ত গুপ্তা</v>
      </c>
      <c r="Q662" s="2" t="s">
        <v>45</v>
      </c>
      <c r="S662" s="2" t="s">
        <v>45</v>
      </c>
      <c r="V662" s="2" t="s">
        <v>1502</v>
      </c>
      <c r="W662" s="2">
        <v>2</v>
      </c>
    </row>
    <row r="663" spans="1:23" ht="15.75" customHeight="1" x14ac:dyDescent="0.35">
      <c r="A663" s="2" t="s">
        <v>23</v>
      </c>
      <c r="L663" s="2">
        <v>273</v>
      </c>
      <c r="M663" s="2" t="s">
        <v>318</v>
      </c>
      <c r="O663" s="2" t="s">
        <v>1503</v>
      </c>
      <c r="P663" s="2" t="str">
        <f ca="1">IFERROR(__xludf.DUMMYFUNCTION("GOOGLETRANSLATE(O663,""en"",""bn"")"),"মানসা মেটে")</f>
        <v>মানসা মেটে</v>
      </c>
      <c r="Q663" s="2" t="s">
        <v>92</v>
      </c>
      <c r="S663" s="2" t="s">
        <v>92</v>
      </c>
      <c r="V663" s="2" t="s">
        <v>1504</v>
      </c>
      <c r="W663" s="2">
        <v>2</v>
      </c>
    </row>
    <row r="664" spans="1:23" ht="15.75" customHeight="1" x14ac:dyDescent="0.35">
      <c r="A664" s="2" t="s">
        <v>23</v>
      </c>
      <c r="L664" s="2">
        <v>86</v>
      </c>
      <c r="M664" s="2" t="s">
        <v>432</v>
      </c>
      <c r="O664" s="2" t="s">
        <v>1505</v>
      </c>
      <c r="P664" s="2" t="str">
        <f ca="1">IFERROR(__xludf.DUMMYFUNCTION("GOOGLETRANSLATE(O664,""en"",""bn"")"),"স্বপন কুমার দাস")</f>
        <v>স্বপন কুমার দাস</v>
      </c>
      <c r="Q664" s="2" t="s">
        <v>34</v>
      </c>
      <c r="S664" s="2" t="s">
        <v>34</v>
      </c>
      <c r="V664" s="2" t="s">
        <v>1506</v>
      </c>
      <c r="W664" s="2">
        <v>2</v>
      </c>
    </row>
    <row r="665" spans="1:23" ht="15.75" customHeight="1" x14ac:dyDescent="0.35">
      <c r="A665" s="2" t="s">
        <v>23</v>
      </c>
      <c r="L665" s="2">
        <v>127</v>
      </c>
      <c r="M665" s="2" t="s">
        <v>289</v>
      </c>
      <c r="O665" s="2" t="s">
        <v>1507</v>
      </c>
      <c r="P665" s="2" t="str">
        <f ca="1">IFERROR(__xludf.DUMMYFUNCTION("GOOGLETRANSLATE(O665,""en"",""bn"")"),"অদ্বৈত্য জোতদার")</f>
        <v>অদ্বৈত্য জোতদার</v>
      </c>
      <c r="Q665" s="2" t="s">
        <v>1508</v>
      </c>
      <c r="S665" s="2" t="s">
        <v>1508</v>
      </c>
      <c r="V665" s="2" t="s">
        <v>1509</v>
      </c>
      <c r="W665" s="2">
        <v>2</v>
      </c>
    </row>
    <row r="666" spans="1:23" ht="15.75" customHeight="1" x14ac:dyDescent="0.35">
      <c r="A666" s="2" t="s">
        <v>23</v>
      </c>
      <c r="L666" s="2">
        <v>163</v>
      </c>
      <c r="M666" s="2" t="s">
        <v>363</v>
      </c>
      <c r="O666" s="2" t="s">
        <v>1510</v>
      </c>
      <c r="P666" s="2" t="str">
        <f ca="1">IFERROR(__xludf.DUMMYFUNCTION("GOOGLETRANSLATE(O666,""en"",""bn"")"),"স্যামস মুশাফির")</f>
        <v>স্যামস মুশাফির</v>
      </c>
      <c r="Q666" s="2" t="s">
        <v>92</v>
      </c>
      <c r="S666" s="2" t="s">
        <v>92</v>
      </c>
      <c r="V666" s="2" t="s">
        <v>1511</v>
      </c>
      <c r="W666" s="2">
        <v>2</v>
      </c>
    </row>
    <row r="667" spans="1:23" ht="15.75" customHeight="1" x14ac:dyDescent="0.35">
      <c r="A667" s="2" t="s">
        <v>23</v>
      </c>
      <c r="L667" s="2">
        <v>142</v>
      </c>
      <c r="M667" s="2" t="s">
        <v>414</v>
      </c>
      <c r="O667" s="2" t="s">
        <v>1512</v>
      </c>
      <c r="P667" s="2" t="str">
        <f ca="1">IFERROR(__xludf.DUMMYFUNCTION("GOOGLETRANSLATE(O667,""en"",""bn"")"),"আব্দুল আজিজ আল হাসান")</f>
        <v>আব্দুল আজিজ আল হাসান</v>
      </c>
      <c r="Q667" s="2" t="s">
        <v>1047</v>
      </c>
      <c r="S667" s="2" t="s">
        <v>1047</v>
      </c>
      <c r="V667" s="2" t="s">
        <v>1513</v>
      </c>
      <c r="W667" s="2">
        <v>2</v>
      </c>
    </row>
    <row r="668" spans="1:23" ht="15.75" customHeight="1" x14ac:dyDescent="0.35">
      <c r="A668" s="2" t="s">
        <v>23</v>
      </c>
      <c r="L668" s="2">
        <v>136</v>
      </c>
      <c r="M668" s="2" t="s">
        <v>43</v>
      </c>
      <c r="O668" s="2" t="s">
        <v>1514</v>
      </c>
      <c r="P668" s="2" t="str">
        <f ca="1">IFERROR(__xludf.DUMMYFUNCTION("GOOGLETRANSLATE(O668,""en"",""bn"")"),"শঙ্কর দেব মন্ডল")</f>
        <v>শঙ্কর দেব মন্ডল</v>
      </c>
      <c r="Q668" s="2" t="s">
        <v>49</v>
      </c>
      <c r="S668" s="2" t="s">
        <v>49</v>
      </c>
      <c r="V668" s="2" t="s">
        <v>1515</v>
      </c>
      <c r="W668" s="2">
        <v>2</v>
      </c>
    </row>
    <row r="669" spans="1:23" ht="15.75" customHeight="1" x14ac:dyDescent="0.35">
      <c r="A669" s="2" t="s">
        <v>23</v>
      </c>
      <c r="L669" s="2">
        <v>144</v>
      </c>
      <c r="M669" s="2" t="s">
        <v>178</v>
      </c>
      <c r="O669" s="2" t="s">
        <v>1516</v>
      </c>
      <c r="P669" s="2" t="str">
        <f ca="1">IFERROR(__xludf.DUMMYFUNCTION("GOOGLETRANSLATE(O669,""en"",""bn"")"),"চন্দ্রকান্ত রায়")</f>
        <v>চন্দ্রকান্ত রায়</v>
      </c>
      <c r="Q669" s="2" t="s">
        <v>1322</v>
      </c>
      <c r="S669" s="2" t="s">
        <v>1322</v>
      </c>
      <c r="V669" s="2" t="s">
        <v>1517</v>
      </c>
      <c r="W669" s="2">
        <v>2</v>
      </c>
    </row>
    <row r="670" spans="1:23" ht="15.75" customHeight="1" x14ac:dyDescent="0.35">
      <c r="A670" s="2" t="s">
        <v>23</v>
      </c>
      <c r="L670" s="2">
        <v>91</v>
      </c>
      <c r="M670" s="2" t="s">
        <v>211</v>
      </c>
      <c r="O670" s="2" t="s">
        <v>1518</v>
      </c>
      <c r="P670" s="2" t="str">
        <f ca="1">IFERROR(__xludf.DUMMYFUNCTION("GOOGLETRANSLATE(O670,""en"",""bn"")"),"অর্চনা ভট্টাচার্য")</f>
        <v>অর্চনা ভট্টাচার্য</v>
      </c>
      <c r="Q670" s="2" t="s">
        <v>92</v>
      </c>
      <c r="S670" s="2" t="s">
        <v>92</v>
      </c>
      <c r="V670" s="2" t="s">
        <v>1519</v>
      </c>
      <c r="W670" s="2">
        <v>2</v>
      </c>
    </row>
    <row r="671" spans="1:23" ht="15.75" customHeight="1" x14ac:dyDescent="0.35">
      <c r="A671" s="2" t="s">
        <v>23</v>
      </c>
      <c r="L671" s="2">
        <v>162</v>
      </c>
      <c r="M671" s="2" t="s">
        <v>411</v>
      </c>
      <c r="O671" s="2" t="s">
        <v>1520</v>
      </c>
      <c r="P671" s="2" t="str">
        <f ca="1">IFERROR(__xludf.DUMMYFUNCTION("GOOGLETRANSLATE(O671,""en"",""bn"")"),"দেবাশিস ভাদ্র")</f>
        <v>দেবাশিস ভাদ্র</v>
      </c>
      <c r="Q671" s="2" t="s">
        <v>1521</v>
      </c>
      <c r="S671" s="2" t="s">
        <v>1521</v>
      </c>
      <c r="V671" s="2" t="s">
        <v>1522</v>
      </c>
      <c r="W671" s="2">
        <v>2</v>
      </c>
    </row>
    <row r="672" spans="1:23" ht="15.75" customHeight="1" x14ac:dyDescent="0.35">
      <c r="A672" s="2" t="s">
        <v>23</v>
      </c>
      <c r="L672" s="2">
        <v>191</v>
      </c>
      <c r="M672" s="2" t="s">
        <v>271</v>
      </c>
      <c r="O672" s="2" t="s">
        <v>1523</v>
      </c>
      <c r="P672" s="2" t="str">
        <f ca="1">IFERROR(__xludf.DUMMYFUNCTION("GOOGLETRANSLATE(O672,""en"",""bn"")"),"হরিচন্দ মজুমদার")</f>
        <v>হরিচন্দ মজুমদার</v>
      </c>
      <c r="Q672" s="2" t="s">
        <v>49</v>
      </c>
      <c r="S672" s="2" t="s">
        <v>49</v>
      </c>
      <c r="V672" s="2" t="s">
        <v>1524</v>
      </c>
      <c r="W672" s="2">
        <v>2</v>
      </c>
    </row>
    <row r="673" spans="1:23" ht="15.75" customHeight="1" x14ac:dyDescent="0.35">
      <c r="A673" s="2" t="s">
        <v>23</v>
      </c>
      <c r="L673" s="2">
        <v>268</v>
      </c>
      <c r="M673" s="2" t="s">
        <v>286</v>
      </c>
      <c r="O673" s="2" t="s">
        <v>1525</v>
      </c>
      <c r="P673" s="2" t="str">
        <f ca="1">IFERROR(__xludf.DUMMYFUNCTION("GOOGLETRANSLATE(O673,""en"",""bn"")"),"জিয়াদুল শেখ")</f>
        <v>জিয়াদুল শেখ</v>
      </c>
      <c r="Q673" s="2" t="s">
        <v>1038</v>
      </c>
      <c r="S673" s="2" t="s">
        <v>1038</v>
      </c>
      <c r="V673" s="2" t="s">
        <v>1526</v>
      </c>
      <c r="W673" s="2">
        <v>2</v>
      </c>
    </row>
    <row r="674" spans="1:23" ht="15.75" customHeight="1" x14ac:dyDescent="0.35">
      <c r="A674" s="2" t="s">
        <v>23</v>
      </c>
      <c r="L674" s="2">
        <v>126</v>
      </c>
      <c r="M674" s="2" t="s">
        <v>133</v>
      </c>
      <c r="O674" s="2" t="s">
        <v>1527</v>
      </c>
      <c r="P674" s="2" t="str">
        <f ca="1">IFERROR(__xludf.DUMMYFUNCTION("GOOGLETRANSLATE(O674,""en"",""bn"")"),"অশোক কুমার মন্ডল")</f>
        <v>অশোক কুমার মন্ডল</v>
      </c>
      <c r="Q674" s="2" t="s">
        <v>1322</v>
      </c>
      <c r="S674" s="2" t="s">
        <v>1322</v>
      </c>
      <c r="V674" s="2" t="s">
        <v>1528</v>
      </c>
      <c r="W674" s="2">
        <v>2</v>
      </c>
    </row>
    <row r="675" spans="1:23" ht="15.75" customHeight="1" x14ac:dyDescent="0.35">
      <c r="A675" s="2" t="s">
        <v>23</v>
      </c>
      <c r="L675" s="2">
        <v>83</v>
      </c>
      <c r="M675" s="2" t="s">
        <v>354</v>
      </c>
      <c r="O675" s="2" t="s">
        <v>1529</v>
      </c>
      <c r="P675" s="2" t="str">
        <f ca="1">IFERROR(__xludf.DUMMYFUNCTION("GOOGLETRANSLATE(O675,""en"",""bn"")"),"সোমনাথ দত্ত")</f>
        <v>সোমনাথ দত্ত</v>
      </c>
      <c r="Q675" s="2" t="s">
        <v>26</v>
      </c>
      <c r="S675" s="2" t="s">
        <v>26</v>
      </c>
      <c r="V675" s="2" t="s">
        <v>1530</v>
      </c>
      <c r="W675" s="2">
        <v>2</v>
      </c>
    </row>
    <row r="676" spans="1:23" ht="15.75" customHeight="1" x14ac:dyDescent="0.35">
      <c r="A676" s="2" t="s">
        <v>23</v>
      </c>
      <c r="L676" s="2">
        <v>133</v>
      </c>
      <c r="M676" s="2" t="s">
        <v>384</v>
      </c>
      <c r="O676" s="2" t="s">
        <v>1531</v>
      </c>
      <c r="P676" s="2" t="str">
        <f ca="1">IFERROR(__xludf.DUMMYFUNCTION("GOOGLETRANSLATE(O676,""en"",""bn"")"),"আব্দুল মালেক মোল্লা")</f>
        <v>আব্দুল মালেক মোল্লা</v>
      </c>
      <c r="Q676" s="2" t="s">
        <v>1047</v>
      </c>
      <c r="S676" s="2" t="s">
        <v>1047</v>
      </c>
      <c r="V676" s="2" t="s">
        <v>1532</v>
      </c>
      <c r="W676" s="2">
        <v>2</v>
      </c>
    </row>
    <row r="677" spans="1:23" ht="15.75" customHeight="1" x14ac:dyDescent="0.35">
      <c r="A677" s="2" t="s">
        <v>23</v>
      </c>
      <c r="L677" s="2">
        <v>263</v>
      </c>
      <c r="M677" s="2" t="s">
        <v>78</v>
      </c>
      <c r="O677" s="2" t="s">
        <v>1533</v>
      </c>
      <c r="P677" s="2" t="str">
        <f ca="1">IFERROR(__xludf.DUMMYFUNCTION("GOOGLETRANSLATE(O677,""en"",""bn"")"),"সাইকাত পাঞ্জা")</f>
        <v>সাইকাত পাঞ্জা</v>
      </c>
      <c r="Q677" s="2" t="s">
        <v>34</v>
      </c>
      <c r="S677" s="2" t="s">
        <v>34</v>
      </c>
      <c r="V677" s="2" t="s">
        <v>1534</v>
      </c>
      <c r="W677" s="2">
        <v>2</v>
      </c>
    </row>
    <row r="678" spans="1:23" ht="15.75" customHeight="1" x14ac:dyDescent="0.35">
      <c r="A678" s="2" t="s">
        <v>23</v>
      </c>
      <c r="L678" s="2">
        <v>185</v>
      </c>
      <c r="M678" s="2" t="s">
        <v>241</v>
      </c>
      <c r="O678" s="2" t="s">
        <v>1535</v>
      </c>
      <c r="P678" s="2" t="str">
        <f ca="1">IFERROR(__xludf.DUMMYFUNCTION("GOOGLETRANSLATE(O678,""en"",""bn"")"),"তপন চৌধুরী")</f>
        <v>তপন চৌধুরী</v>
      </c>
      <c r="Q678" s="2" t="s">
        <v>92</v>
      </c>
      <c r="S678" s="2" t="s">
        <v>92</v>
      </c>
      <c r="V678" s="2" t="s">
        <v>1536</v>
      </c>
      <c r="W678" s="2">
        <v>2</v>
      </c>
    </row>
    <row r="679" spans="1:23" ht="15.75" customHeight="1" x14ac:dyDescent="0.35">
      <c r="A679" s="2" t="s">
        <v>23</v>
      </c>
      <c r="L679" s="2">
        <v>148</v>
      </c>
      <c r="M679" s="2" t="s">
        <v>408</v>
      </c>
      <c r="O679" s="2" t="s">
        <v>1537</v>
      </c>
      <c r="P679" s="2" t="str">
        <f ca="1">IFERROR(__xludf.DUMMYFUNCTION("GOOGLETRANSLATE(O679,""en"",""bn"")"),"এমডি নাওয়াসাদ সিদ্দিক")</f>
        <v>এমডি নাওয়াসাদ সিদ্দিক</v>
      </c>
      <c r="Q679" s="2" t="s">
        <v>1047</v>
      </c>
      <c r="S679" s="2" t="s">
        <v>1047</v>
      </c>
      <c r="V679" s="2" t="s">
        <v>1538</v>
      </c>
      <c r="W679" s="2">
        <v>2</v>
      </c>
    </row>
    <row r="680" spans="1:23" ht="15.75" customHeight="1" x14ac:dyDescent="0.35">
      <c r="A680" s="2" t="s">
        <v>23</v>
      </c>
      <c r="L680" s="2">
        <v>96</v>
      </c>
      <c r="M680" s="2" t="s">
        <v>229</v>
      </c>
      <c r="O680" s="2" t="s">
        <v>1539</v>
      </c>
      <c r="P680" s="2" t="str">
        <f ca="1">IFERROR(__xludf.DUMMYFUNCTION("GOOGLETRANSLATE(O680,""en"",""bn"")"),"স্বপন মজুমদার")</f>
        <v>স্বপন মজুমদার</v>
      </c>
      <c r="Q680" s="2" t="s">
        <v>34</v>
      </c>
      <c r="S680" s="2" t="s">
        <v>34</v>
      </c>
      <c r="V680" s="2" t="s">
        <v>1540</v>
      </c>
      <c r="W680" s="2">
        <v>2</v>
      </c>
    </row>
    <row r="681" spans="1:23" ht="15.75" customHeight="1" x14ac:dyDescent="0.35">
      <c r="A681" s="2" t="s">
        <v>23</v>
      </c>
      <c r="L681" s="2">
        <v>128</v>
      </c>
      <c r="M681" s="2" t="s">
        <v>124</v>
      </c>
      <c r="O681" s="2" t="s">
        <v>1541</v>
      </c>
      <c r="P681" s="2" t="str">
        <f ca="1">IFERROR(__xludf.DUMMYFUNCTION("GOOGLETRANSLATE(O681,""en"",""bn"")"),"মিলান বিশ্বাস")</f>
        <v>মিলান বিশ্বাস</v>
      </c>
      <c r="Q681" s="2" t="s">
        <v>92</v>
      </c>
      <c r="S681" s="2" t="s">
        <v>92</v>
      </c>
      <c r="V681" s="2" t="s">
        <v>1542</v>
      </c>
      <c r="W681" s="2">
        <v>2</v>
      </c>
    </row>
    <row r="682" spans="1:23" ht="15.75" customHeight="1" x14ac:dyDescent="0.35">
      <c r="A682" s="2" t="s">
        <v>23</v>
      </c>
      <c r="L682" s="2">
        <v>147</v>
      </c>
      <c r="M682" s="2" t="s">
        <v>265</v>
      </c>
      <c r="O682" s="2" t="s">
        <v>1543</v>
      </c>
      <c r="P682" s="2" t="str">
        <f ca="1">IFERROR(__xludf.DUMMYFUNCTION("GOOGLETRANSLATE(O682,""en"",""bn"")"),"দিলিপ গায়েন")</f>
        <v>দিলিপ গায়েন</v>
      </c>
      <c r="Q682" s="2" t="s">
        <v>1544</v>
      </c>
      <c r="S682" s="2" t="s">
        <v>1544</v>
      </c>
      <c r="V682" s="2" t="s">
        <v>1545</v>
      </c>
      <c r="W682" s="2">
        <v>2</v>
      </c>
    </row>
    <row r="683" spans="1:23" ht="15.75" customHeight="1" x14ac:dyDescent="0.35">
      <c r="A683" s="2" t="s">
        <v>23</v>
      </c>
      <c r="L683" s="2">
        <v>145</v>
      </c>
      <c r="M683" s="2" t="s">
        <v>166</v>
      </c>
      <c r="O683" s="2" t="s">
        <v>1546</v>
      </c>
      <c r="P683" s="2" t="str">
        <f ca="1">IFERROR(__xludf.DUMMYFUNCTION("GOOGLETRANSLATE(O683,""en"",""bn"")"),"উত্তম পাল")</f>
        <v>উত্তম পাল</v>
      </c>
      <c r="Q683" s="2" t="s">
        <v>92</v>
      </c>
      <c r="S683" s="2" t="s">
        <v>92</v>
      </c>
      <c r="V683" s="2" t="s">
        <v>1547</v>
      </c>
      <c r="W683" s="2">
        <v>2</v>
      </c>
    </row>
    <row r="684" spans="1:23" ht="15.75" customHeight="1" x14ac:dyDescent="0.35">
      <c r="A684" s="2" t="s">
        <v>23</v>
      </c>
      <c r="L684" s="2">
        <v>183</v>
      </c>
      <c r="M684" s="2" t="s">
        <v>295</v>
      </c>
      <c r="O684" s="2" t="s">
        <v>1548</v>
      </c>
      <c r="P684" s="2" t="str">
        <f ca="1">IFERROR(__xludf.DUMMYFUNCTION("GOOGLETRANSLATE(O684,""en"",""bn"")"),"প্রসেনজিৎ সান্ত্রা")</f>
        <v>প্রসেনজিৎ সান্ত্রা</v>
      </c>
      <c r="Q684" s="2" t="s">
        <v>1433</v>
      </c>
      <c r="S684" s="2" t="s">
        <v>1433</v>
      </c>
      <c r="V684" s="2" t="s">
        <v>1549</v>
      </c>
      <c r="W684" s="2">
        <v>2</v>
      </c>
    </row>
    <row r="685" spans="1:23" ht="15.75" customHeight="1" x14ac:dyDescent="0.35">
      <c r="A685" s="2" t="s">
        <v>23</v>
      </c>
      <c r="L685" s="2">
        <v>104</v>
      </c>
      <c r="M685" s="2" t="s">
        <v>396</v>
      </c>
      <c r="O685" s="2" t="s">
        <v>1550</v>
      </c>
      <c r="P685" s="2" t="str">
        <f ca="1">IFERROR(__xludf.DUMMYFUNCTION("GOOGLETRANSLATE(O685,""en"",""bn"")"),"দেবজ্যোতি মজুমদার")</f>
        <v>দেবজ্যোতি মজুমদার</v>
      </c>
      <c r="Q685" s="2" t="s">
        <v>1038</v>
      </c>
      <c r="S685" s="2" t="s">
        <v>1038</v>
      </c>
      <c r="V685" s="2" t="s">
        <v>1551</v>
      </c>
      <c r="W685" s="2">
        <v>2</v>
      </c>
    </row>
    <row r="686" spans="1:23" ht="15.75" customHeight="1" x14ac:dyDescent="0.35">
      <c r="A686" s="2" t="s">
        <v>23</v>
      </c>
      <c r="L686" s="2">
        <v>157</v>
      </c>
      <c r="M686" s="2" t="s">
        <v>36</v>
      </c>
      <c r="O686" s="2" t="s">
        <v>1552</v>
      </c>
      <c r="P686" s="2" t="str">
        <f ca="1">IFERROR(__xludf.DUMMYFUNCTION("GOOGLETRANSLATE(O686,""en"",""bn"")"),"রাম রামেশ্বর")</f>
        <v>রাম রামেশ্বর</v>
      </c>
      <c r="Q686" s="2" t="s">
        <v>49</v>
      </c>
      <c r="S686" s="2" t="s">
        <v>49</v>
      </c>
      <c r="V686" s="2" t="s">
        <v>1553</v>
      </c>
      <c r="W686" s="2">
        <v>2</v>
      </c>
    </row>
    <row r="687" spans="1:23" ht="15.75" customHeight="1" x14ac:dyDescent="0.35">
      <c r="A687" s="2" t="s">
        <v>23</v>
      </c>
      <c r="L687" s="2">
        <v>189</v>
      </c>
      <c r="M687" s="2" t="s">
        <v>223</v>
      </c>
      <c r="O687" s="2" t="s">
        <v>1554</v>
      </c>
      <c r="P687" s="2" t="str">
        <f ca="1">IFERROR(__xludf.DUMMYFUNCTION("GOOGLETRANSLATE(O687,""en"",""bn"")"),"আশীষ চন্দ্র গুপ্ত")</f>
        <v>আশীষ চন্দ্র গুপ্ত</v>
      </c>
      <c r="Q687" s="2" t="s">
        <v>1555</v>
      </c>
      <c r="S687" s="2" t="s">
        <v>1555</v>
      </c>
      <c r="V687" s="2" t="s">
        <v>1556</v>
      </c>
      <c r="W687" s="2">
        <v>2</v>
      </c>
    </row>
    <row r="688" spans="1:23" ht="15.75" customHeight="1" x14ac:dyDescent="0.35">
      <c r="A688" s="2" t="s">
        <v>23</v>
      </c>
      <c r="L688" s="2">
        <v>196</v>
      </c>
      <c r="M688" s="2" t="s">
        <v>148</v>
      </c>
      <c r="O688" s="2" t="s">
        <v>1557</v>
      </c>
      <c r="P688" s="2" t="str">
        <f ca="1">IFERROR(__xludf.DUMMYFUNCTION("GOOGLETRANSLATE(O688,""en"",""bn"")"),"শিশির কুমার রায়")</f>
        <v>শিশির কুমার রায়</v>
      </c>
      <c r="Q688" s="2" t="s">
        <v>92</v>
      </c>
      <c r="S688" s="2" t="s">
        <v>92</v>
      </c>
      <c r="V688" s="2" t="s">
        <v>1558</v>
      </c>
      <c r="W688" s="2">
        <v>2</v>
      </c>
    </row>
    <row r="689" spans="1:23" ht="15.75" customHeight="1" x14ac:dyDescent="0.35">
      <c r="A689" s="2" t="s">
        <v>23</v>
      </c>
      <c r="L689" s="2">
        <v>188</v>
      </c>
      <c r="M689" s="2" t="s">
        <v>106</v>
      </c>
      <c r="O689" s="2" t="s">
        <v>1559</v>
      </c>
      <c r="P689" s="2" t="str">
        <f ca="1">IFERROR(__xludf.DUMMYFUNCTION("GOOGLETRANSLATE(O689,""en"",""bn"")"),"বেচারাম মান্না")</f>
        <v>বেচারাম মান্না</v>
      </c>
      <c r="Q689" s="2" t="s">
        <v>26</v>
      </c>
      <c r="S689" s="2" t="s">
        <v>26</v>
      </c>
      <c r="V689" s="2" t="s">
        <v>1560</v>
      </c>
      <c r="W689" s="2">
        <v>2</v>
      </c>
    </row>
    <row r="690" spans="1:23" ht="15.75" customHeight="1" x14ac:dyDescent="0.35">
      <c r="A690" s="2" t="s">
        <v>23</v>
      </c>
      <c r="L690" s="2">
        <v>118</v>
      </c>
      <c r="M690" s="2" t="s">
        <v>121</v>
      </c>
      <c r="O690" s="2" t="s">
        <v>1561</v>
      </c>
      <c r="P690" s="2" t="str">
        <f ca="1">IFERROR(__xludf.DUMMYFUNCTION("GOOGLETRANSLATE(O690,""en"",""bn"")"),"রথিন ঘোষ")</f>
        <v>রথিন ঘোষ</v>
      </c>
      <c r="Q690" s="2" t="s">
        <v>26</v>
      </c>
      <c r="S690" s="2" t="s">
        <v>26</v>
      </c>
      <c r="V690" s="2" t="s">
        <v>1562</v>
      </c>
      <c r="W690" s="2">
        <v>2</v>
      </c>
    </row>
    <row r="691" spans="1:23" ht="15.75" customHeight="1" x14ac:dyDescent="0.35">
      <c r="A691" s="2" t="s">
        <v>23</v>
      </c>
      <c r="L691" s="2">
        <v>269</v>
      </c>
      <c r="M691" s="2" t="s">
        <v>378</v>
      </c>
      <c r="O691" s="2" t="s">
        <v>1563</v>
      </c>
      <c r="P691" s="2" t="str">
        <f ca="1">IFERROR(__xludf.DUMMYFUNCTION("GOOGLETRANSLATE(O691,""en"",""bn"")"),"বাবান ঘোষ")</f>
        <v>বাবান ঘোষ</v>
      </c>
      <c r="Q691" s="2" t="s">
        <v>1109</v>
      </c>
      <c r="S691" s="2" t="s">
        <v>1109</v>
      </c>
      <c r="V691" s="2" t="s">
        <v>1564</v>
      </c>
      <c r="W691" s="2">
        <v>2</v>
      </c>
    </row>
    <row r="692" spans="1:23" ht="15.75" customHeight="1" x14ac:dyDescent="0.35">
      <c r="A692" s="2" t="s">
        <v>23</v>
      </c>
      <c r="L692" s="2">
        <v>173</v>
      </c>
      <c r="M692" s="2" t="s">
        <v>127</v>
      </c>
      <c r="O692" s="2" t="s">
        <v>1565</v>
      </c>
      <c r="P692" s="2" t="str">
        <f ca="1">IFERROR(__xludf.DUMMYFUNCTION("GOOGLETRANSLATE(O692,""en"",""bn"")"),"রিতা ঘোষাল")</f>
        <v>রিতা ঘোষাল</v>
      </c>
      <c r="Q692" s="2" t="s">
        <v>92</v>
      </c>
      <c r="S692" s="2" t="s">
        <v>92</v>
      </c>
      <c r="V692" s="2" t="s">
        <v>1566</v>
      </c>
      <c r="W692" s="2">
        <v>2</v>
      </c>
    </row>
    <row r="693" spans="1:23" ht="15.75" customHeight="1" x14ac:dyDescent="0.35">
      <c r="A693" s="2" t="s">
        <v>23</v>
      </c>
      <c r="L693" s="2">
        <v>172</v>
      </c>
      <c r="M693" s="2" t="s">
        <v>28</v>
      </c>
      <c r="O693" s="2" t="s">
        <v>1567</v>
      </c>
      <c r="P693" s="2" t="str">
        <f ca="1">IFERROR(__xludf.DUMMYFUNCTION("GOOGLETRANSLATE(O693,""en"",""bn"")"),"শ্রাবন্তী সিং")</f>
        <v>শ্রাবন্তী সিং</v>
      </c>
      <c r="Q693" s="2" t="s">
        <v>41</v>
      </c>
      <c r="S693" s="2" t="s">
        <v>41</v>
      </c>
      <c r="V693" s="2" t="s">
        <v>1568</v>
      </c>
      <c r="W693" s="2">
        <v>2</v>
      </c>
    </row>
    <row r="694" spans="1:23" ht="15.75" customHeight="1" x14ac:dyDescent="0.35">
      <c r="A694" s="2" t="s">
        <v>23</v>
      </c>
      <c r="L694" s="2">
        <v>166</v>
      </c>
      <c r="M694" s="2" t="s">
        <v>247</v>
      </c>
      <c r="O694" s="2" t="s">
        <v>1569</v>
      </c>
      <c r="P694" s="2" t="str">
        <f ca="1">IFERROR(__xludf.DUMMYFUNCTION("GOOGLETRANSLATE(O694,""en"",""bn"")"),"গৌরাঙ্গ খাতুয়া")</f>
        <v>গৌরাঙ্গ খাতুয়া</v>
      </c>
      <c r="Q694" s="2" t="s">
        <v>92</v>
      </c>
      <c r="S694" s="2" t="s">
        <v>92</v>
      </c>
      <c r="V694" s="2" t="s">
        <v>1570</v>
      </c>
      <c r="W694" s="2">
        <v>2</v>
      </c>
    </row>
    <row r="695" spans="1:23" ht="15.75" customHeight="1" x14ac:dyDescent="0.35">
      <c r="A695" s="2" t="s">
        <v>23</v>
      </c>
      <c r="L695" s="2">
        <v>146</v>
      </c>
      <c r="M695" s="2" t="s">
        <v>75</v>
      </c>
      <c r="O695" s="2" t="s">
        <v>1571</v>
      </c>
      <c r="P695" s="2" t="str">
        <f ca="1">IFERROR(__xludf.DUMMYFUNCTION("GOOGLETRANSLATE(O695,""en"",""bn"")"),"শ্যামল দল")</f>
        <v>শ্যামল দল</v>
      </c>
      <c r="Q695" s="2" t="s">
        <v>45</v>
      </c>
      <c r="S695" s="2" t="s">
        <v>45</v>
      </c>
      <c r="V695" s="2" t="s">
        <v>1572</v>
      </c>
      <c r="W695" s="2">
        <v>2</v>
      </c>
    </row>
    <row r="696" spans="1:23" ht="15.75" customHeight="1" x14ac:dyDescent="0.35">
      <c r="A696" s="2" t="s">
        <v>23</v>
      </c>
      <c r="L696" s="2">
        <v>140</v>
      </c>
      <c r="M696" s="2" t="s">
        <v>429</v>
      </c>
      <c r="O696" s="2" t="s">
        <v>1573</v>
      </c>
      <c r="P696" s="2" t="str">
        <f ca="1">IFERROR(__xludf.DUMMYFUNCTION("GOOGLETRANSLATE(O696,""en"",""bn"")"),"এমডি লাহেক আলী")</f>
        <v>এমডি লাহেক আলী</v>
      </c>
      <c r="Q696" s="2" t="s">
        <v>45</v>
      </c>
      <c r="S696" s="2" t="s">
        <v>45</v>
      </c>
      <c r="V696" s="2" t="s">
        <v>1574</v>
      </c>
      <c r="W696" s="2">
        <v>2</v>
      </c>
    </row>
    <row r="697" spans="1:23" ht="15.75" customHeight="1" x14ac:dyDescent="0.35">
      <c r="A697" s="2" t="s">
        <v>23</v>
      </c>
      <c r="L697" s="2">
        <v>134</v>
      </c>
      <c r="M697" s="2" t="s">
        <v>274</v>
      </c>
      <c r="O697" s="2" t="s">
        <v>1575</v>
      </c>
      <c r="P697" s="2" t="str">
        <f ca="1">IFERROR(__xludf.DUMMYFUNCTION("GOOGLETRANSLATE(O697,""en"",""bn"")"),"সুজাতা সরকার")</f>
        <v>সুজাতা সরকার</v>
      </c>
      <c r="Q697" s="2" t="s">
        <v>49</v>
      </c>
      <c r="S697" s="2" t="s">
        <v>49</v>
      </c>
      <c r="V697" s="2" t="s">
        <v>1576</v>
      </c>
      <c r="W697" s="2">
        <v>2</v>
      </c>
    </row>
    <row r="698" spans="1:23" ht="15.75" customHeight="1" x14ac:dyDescent="0.35">
      <c r="A698" s="2" t="s">
        <v>23</v>
      </c>
      <c r="L698" s="2">
        <v>264</v>
      </c>
      <c r="M698" s="2" t="s">
        <v>393</v>
      </c>
      <c r="O698" s="2" t="s">
        <v>1577</v>
      </c>
      <c r="P698" s="2" t="str">
        <f ca="1">IFERROR(__xludf.DUMMYFUNCTION("GOOGLETRANSLATE(O698,""en"",""bn"")"),"নীলরতন বিশ্বাস")</f>
        <v>নীলরতন বিশ্বাস</v>
      </c>
      <c r="Q698" s="2" t="s">
        <v>92</v>
      </c>
      <c r="S698" s="2" t="s">
        <v>92</v>
      </c>
      <c r="V698" s="2" t="s">
        <v>1578</v>
      </c>
      <c r="W698" s="2">
        <v>2</v>
      </c>
    </row>
    <row r="699" spans="1:23" ht="15.75" customHeight="1" x14ac:dyDescent="0.35">
      <c r="A699" s="2" t="s">
        <v>23</v>
      </c>
      <c r="L699" s="2">
        <v>92</v>
      </c>
      <c r="M699" s="2" t="s">
        <v>321</v>
      </c>
      <c r="O699" s="2" t="s">
        <v>1579</v>
      </c>
      <c r="P699" s="2" t="str">
        <f ca="1">IFERROR(__xludf.DUMMYFUNCTION("GOOGLETRANSLATE(O699,""en"",""bn"")"),"সবুজ দাস")</f>
        <v>সবুজ দাস</v>
      </c>
      <c r="Q699" s="2" t="s">
        <v>45</v>
      </c>
      <c r="S699" s="2" t="s">
        <v>45</v>
      </c>
      <c r="V699" s="2" t="s">
        <v>1580</v>
      </c>
      <c r="W699" s="2">
        <v>2</v>
      </c>
    </row>
    <row r="700" spans="1:23" ht="15.75" customHeight="1" x14ac:dyDescent="0.35">
      <c r="A700" s="2" t="s">
        <v>23</v>
      </c>
      <c r="L700" s="2">
        <v>129</v>
      </c>
      <c r="M700" s="2" t="s">
        <v>24</v>
      </c>
      <c r="O700" s="2" t="s">
        <v>1514</v>
      </c>
      <c r="P700" s="2" t="str">
        <f ca="1">IFERROR(__xludf.DUMMYFUNCTION("GOOGLETRANSLATE(O700,""en"",""bn"")"),"শঙ্কর দেব মন্ডল")</f>
        <v>শঙ্কর দেব মন্ডল</v>
      </c>
      <c r="Q700" s="2" t="s">
        <v>49</v>
      </c>
      <c r="S700" s="2" t="s">
        <v>49</v>
      </c>
      <c r="V700" s="2" t="s">
        <v>1581</v>
      </c>
      <c r="W700" s="2">
        <v>2</v>
      </c>
    </row>
    <row r="701" spans="1:23" ht="15.75" customHeight="1" x14ac:dyDescent="0.35">
      <c r="A701" s="2" t="s">
        <v>23</v>
      </c>
      <c r="L701" s="2">
        <v>135</v>
      </c>
      <c r="M701" s="2" t="s">
        <v>333</v>
      </c>
      <c r="O701" s="2" t="s">
        <v>1582</v>
      </c>
      <c r="P701" s="2" t="str">
        <f ca="1">IFERROR(__xludf.DUMMYFUNCTION("GOOGLETRANSLATE(O701,""en"",""bn"")"),"অনন্যা নস্কর")</f>
        <v>অনন্যা নস্কর</v>
      </c>
      <c r="Q701" s="2" t="s">
        <v>1544</v>
      </c>
      <c r="S701" s="2" t="s">
        <v>1544</v>
      </c>
      <c r="V701" s="2" t="s">
        <v>1583</v>
      </c>
      <c r="W701" s="2">
        <v>2</v>
      </c>
    </row>
    <row r="702" spans="1:23" ht="15.75" customHeight="1" x14ac:dyDescent="0.35">
      <c r="A702" s="2" t="s">
        <v>23</v>
      </c>
      <c r="L702" s="2">
        <v>181</v>
      </c>
      <c r="M702" s="2" t="s">
        <v>193</v>
      </c>
      <c r="O702" s="2" t="s">
        <v>1584</v>
      </c>
      <c r="P702" s="2" t="str">
        <f ca="1">IFERROR(__xludf.DUMMYFUNCTION("GOOGLETRANSLATE(O702,""en"",""bn"")"),"সঞ্জীব সান্তারা")</f>
        <v>সঞ্জীব সান্তারা</v>
      </c>
      <c r="Q702" s="2" t="s">
        <v>92</v>
      </c>
      <c r="S702" s="2" t="s">
        <v>92</v>
      </c>
      <c r="V702" s="2" t="s">
        <v>1585</v>
      </c>
      <c r="W702" s="2">
        <v>2</v>
      </c>
    </row>
    <row r="703" spans="1:23" ht="15.75" customHeight="1" x14ac:dyDescent="0.35">
      <c r="A703" s="2" t="s">
        <v>23</v>
      </c>
      <c r="L703" s="2">
        <v>192</v>
      </c>
      <c r="M703" s="2" t="s">
        <v>172</v>
      </c>
      <c r="O703" s="2" t="s">
        <v>1586</v>
      </c>
      <c r="P703" s="2" t="str">
        <f ca="1">IFERROR(__xludf.DUMMYFUNCTION("GOOGLETRANSLATE(O703,""en"",""bn"")"),"রবিন বাস্কে")</f>
        <v>রবিন বাস্কে</v>
      </c>
      <c r="Q703" s="2" t="s">
        <v>1587</v>
      </c>
      <c r="S703" s="2" t="s">
        <v>1587</v>
      </c>
      <c r="V703" s="2" t="s">
        <v>1588</v>
      </c>
      <c r="W703" s="2">
        <v>2</v>
      </c>
    </row>
    <row r="704" spans="1:23" ht="15.75" customHeight="1" x14ac:dyDescent="0.35">
      <c r="A704" s="2" t="s">
        <v>23</v>
      </c>
      <c r="L704" s="2">
        <v>180</v>
      </c>
      <c r="M704" s="2" t="s">
        <v>324</v>
      </c>
      <c r="O704" s="2" t="s">
        <v>1589</v>
      </c>
      <c r="P704" s="2" t="str">
        <f ca="1">IFERROR(__xludf.DUMMYFUNCTION("GOOGLETRANSLATE(O704,""en"",""bn"")"),"বিশ্বনাথ বেরা")</f>
        <v>বিশ্বনাথ বেরা</v>
      </c>
      <c r="Q704" s="2" t="s">
        <v>92</v>
      </c>
      <c r="S704" s="2" t="s">
        <v>92</v>
      </c>
      <c r="V704" s="2" t="s">
        <v>1590</v>
      </c>
      <c r="W704" s="2">
        <v>2</v>
      </c>
    </row>
    <row r="705" spans="1:23" ht="15.75" customHeight="1" x14ac:dyDescent="0.35">
      <c r="A705" s="2" t="s">
        <v>23</v>
      </c>
      <c r="L705" s="2">
        <v>152</v>
      </c>
      <c r="M705" s="2" t="s">
        <v>450</v>
      </c>
      <c r="O705" s="2" t="s">
        <v>1591</v>
      </c>
      <c r="P705" s="2" t="str">
        <f ca="1">IFERROR(__xludf.DUMMYFUNCTION("GOOGLETRANSLATE(O705,""en"",""bn"")"),"মানস সিনহা রায়")</f>
        <v>মানস সিনহা রায়</v>
      </c>
      <c r="Q705" s="2" t="s">
        <v>41</v>
      </c>
      <c r="S705" s="2" t="s">
        <v>41</v>
      </c>
      <c r="V705" s="2" t="s">
        <v>1592</v>
      </c>
      <c r="W705" s="2">
        <v>2</v>
      </c>
    </row>
    <row r="706" spans="1:23" ht="15.75" customHeight="1" x14ac:dyDescent="0.35">
      <c r="A706" s="2" t="s">
        <v>23</v>
      </c>
      <c r="L706" s="2">
        <v>259</v>
      </c>
      <c r="M706" s="2" t="s">
        <v>453</v>
      </c>
      <c r="O706" s="2" t="s">
        <v>1593</v>
      </c>
      <c r="P706" s="2" t="str">
        <f ca="1">IFERROR(__xludf.DUMMYFUNCTION("GOOGLETRANSLATE(O706,""en"",""bn"")"),"রামজীবন রায়")</f>
        <v>রামজীবন রায়</v>
      </c>
      <c r="Q706" s="2" t="s">
        <v>45</v>
      </c>
      <c r="S706" s="2" t="s">
        <v>45</v>
      </c>
      <c r="V706" s="2" t="s">
        <v>1594</v>
      </c>
      <c r="W706" s="2">
        <v>2</v>
      </c>
    </row>
    <row r="707" spans="1:23" ht="15.75" customHeight="1" x14ac:dyDescent="0.35">
      <c r="A707" s="2" t="s">
        <v>23</v>
      </c>
      <c r="L707" s="2">
        <v>202</v>
      </c>
      <c r="M707" s="2" t="s">
        <v>312</v>
      </c>
      <c r="O707" s="2" t="s">
        <v>1595</v>
      </c>
      <c r="P707" s="2" t="str">
        <f ca="1">IFERROR(__xludf.DUMMYFUNCTION("GOOGLETRANSLATE(O707,""en"",""bn"")"),"বিপ্লব মজুমদার")</f>
        <v>বিপ্লব মজুমদার</v>
      </c>
      <c r="Q707" s="2" t="s">
        <v>1508</v>
      </c>
      <c r="S707" s="2" t="s">
        <v>1508</v>
      </c>
      <c r="V707" s="2" t="s">
        <v>1596</v>
      </c>
      <c r="W707" s="2">
        <v>2</v>
      </c>
    </row>
    <row r="708" spans="1:23" ht="15.75" customHeight="1" x14ac:dyDescent="0.35">
      <c r="A708" s="2" t="s">
        <v>23</v>
      </c>
      <c r="L708" s="2">
        <v>113</v>
      </c>
      <c r="M708" s="2" t="s">
        <v>399</v>
      </c>
      <c r="O708" s="2" t="s">
        <v>1597</v>
      </c>
      <c r="P708" s="2" t="str">
        <f ca="1">IFERROR(__xludf.DUMMYFUNCTION("GOOGLETRANSLATE(O708,""en"",""bn"")"),"সুপ্রিয়া ভট্টাচার্য")</f>
        <v>সুপ্রিয়া ভট্টাচার্য</v>
      </c>
      <c r="Q708" s="2" t="s">
        <v>92</v>
      </c>
      <c r="S708" s="2" t="s">
        <v>92</v>
      </c>
      <c r="V708" s="2" t="s">
        <v>1598</v>
      </c>
      <c r="W708" s="2">
        <v>2</v>
      </c>
    </row>
    <row r="709" spans="1:23" ht="15.75" customHeight="1" x14ac:dyDescent="0.35">
      <c r="A709" s="2" t="s">
        <v>23</v>
      </c>
      <c r="L709" s="2">
        <v>116</v>
      </c>
      <c r="M709" s="2" t="s">
        <v>39</v>
      </c>
      <c r="O709" s="2" t="s">
        <v>1599</v>
      </c>
      <c r="P709" s="2" t="str">
        <f ca="1">IFERROR(__xludf.DUMMYFUNCTION("GOOGLETRANSLATE(O709,""en"",""bn"")"),"উমা পান্ডা")</f>
        <v>উমা পান্ডা</v>
      </c>
      <c r="Q709" s="2" t="s">
        <v>92</v>
      </c>
      <c r="S709" s="2" t="s">
        <v>92</v>
      </c>
      <c r="V709" s="2" t="s">
        <v>1600</v>
      </c>
      <c r="W709" s="2">
        <v>2</v>
      </c>
    </row>
    <row r="710" spans="1:23" ht="15.75" customHeight="1" x14ac:dyDescent="0.35">
      <c r="A710" s="2" t="s">
        <v>23</v>
      </c>
      <c r="L710" s="2">
        <v>154</v>
      </c>
      <c r="M710" s="2" t="s">
        <v>136</v>
      </c>
      <c r="O710" s="2" t="s">
        <v>1601</v>
      </c>
      <c r="P710" s="2" t="str">
        <f ca="1">IFERROR(__xludf.DUMMYFUNCTION("GOOGLETRANSLATE(O710,""en"",""bn"")"),"সাইবাল রে")</f>
        <v>সাইবাল রে</v>
      </c>
      <c r="Q710" s="2" t="s">
        <v>41</v>
      </c>
      <c r="S710" s="2" t="s">
        <v>41</v>
      </c>
      <c r="V710" s="2" t="s">
        <v>1602</v>
      </c>
      <c r="W710" s="2">
        <v>2</v>
      </c>
    </row>
    <row r="711" spans="1:23" ht="15.75" customHeight="1" x14ac:dyDescent="0.35">
      <c r="A711" s="2" t="s">
        <v>23</v>
      </c>
      <c r="L711" s="2">
        <v>174</v>
      </c>
      <c r="M711" s="2" t="s">
        <v>256</v>
      </c>
      <c r="O711" s="2" t="s">
        <v>1603</v>
      </c>
      <c r="P711" s="2" t="str">
        <f ca="1">IFERROR(__xludf.DUMMYFUNCTION("GOOGLETRANSLATE(O711,""en"",""bn"")"),"কৌশিক নস্কর")</f>
        <v>কৌশিক নস্কর</v>
      </c>
      <c r="Q711" s="2" t="s">
        <v>1322</v>
      </c>
      <c r="S711" s="2" t="s">
        <v>1322</v>
      </c>
      <c r="V711" s="2" t="s">
        <v>1604</v>
      </c>
      <c r="W711" s="2">
        <v>2</v>
      </c>
    </row>
    <row r="712" spans="1:23" ht="15.75" customHeight="1" x14ac:dyDescent="0.35">
      <c r="A712" s="2" t="s">
        <v>23</v>
      </c>
      <c r="L712" s="2">
        <v>184</v>
      </c>
      <c r="M712" s="2" t="s">
        <v>60</v>
      </c>
      <c r="O712" s="2" t="s">
        <v>1605</v>
      </c>
      <c r="P712" s="2" t="str">
        <f ca="1">IFERROR(__xludf.DUMMYFUNCTION("GOOGLETRANSLATE(O712,""en"",""bn"")"),"শেখ সাজিদ")</f>
        <v>শেখ সাজিদ</v>
      </c>
      <c r="Q712" s="2" t="s">
        <v>1370</v>
      </c>
      <c r="S712" s="2" t="s">
        <v>1370</v>
      </c>
      <c r="V712" s="2" t="s">
        <v>1606</v>
      </c>
      <c r="W712" s="2">
        <v>2</v>
      </c>
    </row>
    <row r="713" spans="1:23" ht="15.75" customHeight="1" x14ac:dyDescent="0.35">
      <c r="A713" s="2" t="s">
        <v>23</v>
      </c>
      <c r="L713" s="2">
        <v>151</v>
      </c>
      <c r="M713" s="2" t="s">
        <v>81</v>
      </c>
      <c r="O713" s="2" t="s">
        <v>1607</v>
      </c>
      <c r="P713" s="2" t="str">
        <f ca="1">IFERROR(__xludf.DUMMYFUNCTION("GOOGLETRANSLATE(O713,""en"",""bn"")"),"অনিন্দ্য রায় চৌধুরী")</f>
        <v>অনিন্দ্য রায় চৌধুরী</v>
      </c>
      <c r="Q713" s="2" t="s">
        <v>92</v>
      </c>
      <c r="S713" s="2" t="s">
        <v>92</v>
      </c>
      <c r="V713" s="2" t="s">
        <v>1608</v>
      </c>
      <c r="W713" s="2">
        <v>2</v>
      </c>
    </row>
    <row r="714" spans="1:23" ht="15.75" customHeight="1" x14ac:dyDescent="0.35">
      <c r="A714" s="2" t="s">
        <v>23</v>
      </c>
      <c r="L714" s="2">
        <v>123</v>
      </c>
      <c r="M714" s="2" t="s">
        <v>208</v>
      </c>
      <c r="O714" s="2" t="s">
        <v>1609</v>
      </c>
      <c r="P714" s="2" t="str">
        <f ca="1">IFERROR(__xludf.DUMMYFUNCTION("GOOGLETRANSLATE(O714,""en"",""bn"")"),"সানাত মুন্ডা")</f>
        <v>সানাত মুন্ডা</v>
      </c>
      <c r="Q714" s="2" t="s">
        <v>1322</v>
      </c>
      <c r="S714" s="2" t="s">
        <v>1322</v>
      </c>
      <c r="V714" s="2" t="s">
        <v>1610</v>
      </c>
      <c r="W714" s="2">
        <v>2</v>
      </c>
    </row>
    <row r="715" spans="1:23" ht="15.75" customHeight="1" x14ac:dyDescent="0.35">
      <c r="A715" s="2" t="s">
        <v>23</v>
      </c>
      <c r="L715" s="2">
        <v>265</v>
      </c>
      <c r="M715" s="2" t="s">
        <v>420</v>
      </c>
      <c r="O715" s="2" t="s">
        <v>1611</v>
      </c>
      <c r="P715" s="2" t="str">
        <f ca="1">IFERROR(__xludf.DUMMYFUNCTION("GOOGLETRANSLATE(O715,""en"",""bn"")"),"বসিরুজ্জামান কায়াল")</f>
        <v>বসিরুজ্জামান কায়াল</v>
      </c>
      <c r="Q715" s="2" t="s">
        <v>1109</v>
      </c>
      <c r="S715" s="2" t="s">
        <v>1109</v>
      </c>
      <c r="V715" s="2" t="s">
        <v>1612</v>
      </c>
      <c r="W715" s="2">
        <v>2</v>
      </c>
    </row>
    <row r="716" spans="1:23" ht="15.75" customHeight="1" x14ac:dyDescent="0.35">
      <c r="A716" s="2" t="s">
        <v>23</v>
      </c>
      <c r="L716" s="2">
        <v>142</v>
      </c>
      <c r="M716" s="2" t="s">
        <v>414</v>
      </c>
      <c r="O716" s="2" t="s">
        <v>1613</v>
      </c>
      <c r="P716" s="2" t="str">
        <f ca="1">IFERROR(__xludf.DUMMYFUNCTION("GOOGLETRANSLATE(O716,""en"",""bn"")"),"গোরা জামাদার")</f>
        <v>গোরা জামাদার</v>
      </c>
      <c r="Q716" s="2" t="s">
        <v>92</v>
      </c>
      <c r="S716" s="2" t="s">
        <v>92</v>
      </c>
      <c r="V716" s="2" t="s">
        <v>1614</v>
      </c>
      <c r="W716" s="2">
        <v>2</v>
      </c>
    </row>
    <row r="717" spans="1:23" ht="15.75" customHeight="1" x14ac:dyDescent="0.35">
      <c r="A717" s="2" t="s">
        <v>23</v>
      </c>
      <c r="L717" s="2">
        <v>114</v>
      </c>
      <c r="M717" s="2" t="s">
        <v>303</v>
      </c>
      <c r="O717" s="2" t="s">
        <v>1615</v>
      </c>
      <c r="P717" s="2" t="str">
        <f ca="1">IFERROR(__xludf.DUMMYFUNCTION("GOOGLETRANSLATE(O717,""en"",""bn"")"),"নীরেন্দ্রনাথ কর্মকার")</f>
        <v>নীরেন্দ্রনাথ কর্মকার</v>
      </c>
      <c r="Q717" s="2" t="s">
        <v>92</v>
      </c>
      <c r="S717" s="2" t="s">
        <v>92</v>
      </c>
      <c r="V717" s="2" t="s">
        <v>1616</v>
      </c>
      <c r="W717" s="2">
        <v>2</v>
      </c>
    </row>
    <row r="718" spans="1:23" ht="15.75" customHeight="1" x14ac:dyDescent="0.35">
      <c r="A718" s="2" t="s">
        <v>23</v>
      </c>
      <c r="L718" s="2">
        <v>125</v>
      </c>
      <c r="M718" s="2" t="s">
        <v>160</v>
      </c>
      <c r="O718" s="2" t="s">
        <v>1617</v>
      </c>
      <c r="P718" s="2" t="str">
        <f ca="1">IFERROR(__xludf.DUMMYFUNCTION("GOOGLETRANSLATE(O718,""en"",""bn"")"),"কৌশিক মন্ডল")</f>
        <v>কৌশিক মন্ডল</v>
      </c>
      <c r="Q718" s="2" t="s">
        <v>1322</v>
      </c>
      <c r="S718" s="2" t="s">
        <v>1322</v>
      </c>
      <c r="V718" s="2" t="s">
        <v>1618</v>
      </c>
      <c r="W718" s="2">
        <v>2</v>
      </c>
    </row>
    <row r="719" spans="1:23" ht="15.75" customHeight="1" x14ac:dyDescent="0.35">
      <c r="A719" s="2" t="s">
        <v>23</v>
      </c>
      <c r="L719" s="2">
        <v>176</v>
      </c>
      <c r="M719" s="2" t="s">
        <v>139</v>
      </c>
      <c r="O719" s="2" t="s">
        <v>1619</v>
      </c>
      <c r="P719" s="2" t="str">
        <f ca="1">IFERROR(__xludf.DUMMYFUNCTION("GOOGLETRANSLATE(O719,""en"",""bn"")"),"সহজাদি পারভিন")</f>
        <v>সহজাদি পারভিন</v>
      </c>
      <c r="Q719" s="2" t="s">
        <v>1414</v>
      </c>
      <c r="S719" s="2" t="s">
        <v>1414</v>
      </c>
      <c r="V719" s="2" t="s">
        <v>1620</v>
      </c>
      <c r="W719" s="2">
        <v>2</v>
      </c>
    </row>
    <row r="720" spans="1:23" ht="15.75" customHeight="1" x14ac:dyDescent="0.35">
      <c r="A720" s="2" t="s">
        <v>23</v>
      </c>
      <c r="L720" s="2">
        <v>266</v>
      </c>
      <c r="M720" s="2" t="s">
        <v>214</v>
      </c>
      <c r="O720" s="2" t="s">
        <v>1621</v>
      </c>
      <c r="P720" s="2" t="str">
        <f ca="1">IFERROR(__xludf.DUMMYFUNCTION("GOOGLETRANSLATE(O720,""en"",""bn"")"),"সুচান্দ দাস")</f>
        <v>সুচান্দ দাস</v>
      </c>
      <c r="Q720" s="2" t="s">
        <v>1109</v>
      </c>
      <c r="S720" s="2" t="s">
        <v>1109</v>
      </c>
      <c r="V720" s="2" t="s">
        <v>1622</v>
      </c>
      <c r="W720" s="2">
        <v>2</v>
      </c>
    </row>
    <row r="721" spans="1:23" ht="15.75" customHeight="1" x14ac:dyDescent="0.35">
      <c r="A721" s="2" t="s">
        <v>23</v>
      </c>
      <c r="L721" s="2">
        <v>157</v>
      </c>
      <c r="M721" s="2" t="s">
        <v>36</v>
      </c>
      <c r="O721" s="2" t="s">
        <v>1623</v>
      </c>
      <c r="P721" s="2" t="str">
        <f ca="1">IFERROR(__xludf.DUMMYFUNCTION("GOOGLETRANSLATE(O721,""en"",""bn"")"),"আজাজ আহমেদ আনসারি")</f>
        <v>আজাজ আহমেদ আনসারি</v>
      </c>
      <c r="Q721" s="2" t="s">
        <v>1109</v>
      </c>
      <c r="S721" s="2" t="s">
        <v>1109</v>
      </c>
      <c r="V721" s="2" t="s">
        <v>1624</v>
      </c>
      <c r="W721" s="2">
        <v>2</v>
      </c>
    </row>
    <row r="722" spans="1:23" ht="15.75" customHeight="1" x14ac:dyDescent="0.35">
      <c r="A722" s="2" t="s">
        <v>23</v>
      </c>
      <c r="L722" s="2">
        <v>187</v>
      </c>
      <c r="M722" s="2" t="s">
        <v>405</v>
      </c>
      <c r="O722" s="2" t="s">
        <v>1625</v>
      </c>
      <c r="P722" s="2" t="str">
        <f ca="1">IFERROR(__xludf.DUMMYFUNCTION("GOOGLETRANSLATE(O722,""en"",""bn"")"),"হেনা পারভীন")</f>
        <v>হেনা পারভীন</v>
      </c>
      <c r="Q722" s="2" t="s">
        <v>1626</v>
      </c>
      <c r="S722" s="2" t="s">
        <v>1626</v>
      </c>
      <c r="V722" s="2" t="s">
        <v>1627</v>
      </c>
      <c r="W722" s="2">
        <v>2</v>
      </c>
    </row>
    <row r="723" spans="1:23" ht="15.75" customHeight="1" x14ac:dyDescent="0.35">
      <c r="A723" s="2" t="s">
        <v>23</v>
      </c>
      <c r="L723" s="2">
        <v>174</v>
      </c>
      <c r="M723" s="2" t="s">
        <v>256</v>
      </c>
      <c r="O723" s="2" t="s">
        <v>1628</v>
      </c>
      <c r="P723" s="2" t="str">
        <f ca="1">IFERROR(__xludf.DUMMYFUNCTION("GOOGLETRANSLATE(O723,""en"",""bn"")"),"নীলকমল দাস")</f>
        <v>নীলকমল দাস</v>
      </c>
      <c r="Q723" s="2" t="s">
        <v>1322</v>
      </c>
      <c r="S723" s="2" t="s">
        <v>1322</v>
      </c>
      <c r="V723" s="2" t="s">
        <v>1629</v>
      </c>
      <c r="W723" s="2">
        <v>2</v>
      </c>
    </row>
    <row r="724" spans="1:23" ht="15.75" customHeight="1" x14ac:dyDescent="0.35">
      <c r="A724" s="2" t="s">
        <v>23</v>
      </c>
      <c r="L724" s="2">
        <v>197</v>
      </c>
      <c r="M724" s="2" t="s">
        <v>360</v>
      </c>
      <c r="O724" s="2" t="s">
        <v>1630</v>
      </c>
      <c r="P724" s="2" t="str">
        <f ca="1">IFERROR(__xludf.DUMMYFUNCTION("GOOGLETRANSLATE(O724,""en"",""bn"")"),"লাবানি মাঝি")</f>
        <v>লাবানি মাঝি</v>
      </c>
      <c r="Q724" s="2" t="s">
        <v>1322</v>
      </c>
      <c r="S724" s="2" t="s">
        <v>1322</v>
      </c>
      <c r="V724" s="2" t="s">
        <v>1631</v>
      </c>
      <c r="W724" s="2">
        <v>2</v>
      </c>
    </row>
    <row r="725" spans="1:23" ht="15.75" customHeight="1" x14ac:dyDescent="0.35">
      <c r="A725" s="2" t="s">
        <v>23</v>
      </c>
      <c r="L725" s="2">
        <v>96</v>
      </c>
      <c r="M725" s="2" t="s">
        <v>229</v>
      </c>
      <c r="O725" s="2" t="s">
        <v>1632</v>
      </c>
      <c r="P725" s="2" t="str">
        <f ca="1">IFERROR(__xludf.DUMMYFUNCTION("GOOGLETRANSLATE(O725,""en"",""bn"")"),"রবীন্দ্রনাথ বারাই")</f>
        <v>রবীন্দ্রনাথ বারাই</v>
      </c>
      <c r="Q725" s="2" t="s">
        <v>92</v>
      </c>
      <c r="S725" s="2" t="s">
        <v>92</v>
      </c>
      <c r="V725" s="2" t="s">
        <v>1633</v>
      </c>
      <c r="W725" s="2">
        <v>2</v>
      </c>
    </row>
    <row r="726" spans="1:23" ht="15.75" customHeight="1" x14ac:dyDescent="0.35">
      <c r="A726" s="2" t="s">
        <v>23</v>
      </c>
      <c r="L726" s="2">
        <v>162</v>
      </c>
      <c r="M726" s="2" t="s">
        <v>411</v>
      </c>
      <c r="O726" s="2" t="s">
        <v>1634</v>
      </c>
      <c r="P726" s="2" t="str">
        <f ca="1">IFERROR(__xludf.DUMMYFUNCTION("GOOGLETRANSLATE(O726,""en"",""bn"")"),"প্রবীর সীল")</f>
        <v>প্রবীর সীল</v>
      </c>
      <c r="Q726" s="2" t="s">
        <v>92</v>
      </c>
      <c r="S726" s="2" t="s">
        <v>92</v>
      </c>
      <c r="V726" s="2" t="s">
        <v>1635</v>
      </c>
      <c r="W726" s="2">
        <v>2</v>
      </c>
    </row>
    <row r="727" spans="1:23" ht="15.75" customHeight="1" x14ac:dyDescent="0.35">
      <c r="A727" s="2" t="s">
        <v>23</v>
      </c>
      <c r="L727" s="2">
        <v>164</v>
      </c>
      <c r="M727" s="2" t="s">
        <v>402</v>
      </c>
      <c r="O727" s="2" t="s">
        <v>1636</v>
      </c>
      <c r="P727" s="2" t="str">
        <f ca="1">IFERROR(__xludf.DUMMYFUNCTION("GOOGLETRANSLATE(O727,""en"",""bn"")"),"অভিজিৎ হাজরা")</f>
        <v>অভিজিৎ হাজরা</v>
      </c>
      <c r="Q727" s="2" t="s">
        <v>1322</v>
      </c>
      <c r="S727" s="2" t="s">
        <v>1322</v>
      </c>
      <c r="V727" s="2" t="s">
        <v>1637</v>
      </c>
      <c r="W727" s="2">
        <v>2</v>
      </c>
    </row>
    <row r="728" spans="1:23" ht="15.75" customHeight="1" x14ac:dyDescent="0.35">
      <c r="A728" s="2" t="s">
        <v>23</v>
      </c>
      <c r="L728" s="2">
        <v>122</v>
      </c>
      <c r="M728" s="2" t="s">
        <v>232</v>
      </c>
      <c r="O728" s="2" t="s">
        <v>1638</v>
      </c>
      <c r="P728" s="2" t="str">
        <f ca="1">IFERROR(__xludf.DUMMYFUNCTION("GOOGLETRANSLATE(O728,""en"",""bn"")"),"সুকান্ত রায়")</f>
        <v>সুকান্ত রায়</v>
      </c>
      <c r="Q728" s="2" t="s">
        <v>1322</v>
      </c>
      <c r="S728" s="2" t="s">
        <v>1322</v>
      </c>
      <c r="V728" s="2" t="s">
        <v>1639</v>
      </c>
      <c r="W728" s="2">
        <v>2</v>
      </c>
    </row>
    <row r="729" spans="1:23" ht="15.75" customHeight="1" x14ac:dyDescent="0.35">
      <c r="A729" s="2" t="s">
        <v>23</v>
      </c>
      <c r="L729" s="2">
        <v>183</v>
      </c>
      <c r="M729" s="2" t="s">
        <v>295</v>
      </c>
      <c r="O729" s="2" t="s">
        <v>1640</v>
      </c>
      <c r="P729" s="2" t="str">
        <f ca="1">IFERROR(__xludf.DUMMYFUNCTION("GOOGLETRANSLATE(O729,""en"",""bn"")"),"অনুপম মালিক")</f>
        <v>অনুপম মালিক</v>
      </c>
      <c r="Q729" s="2" t="s">
        <v>1322</v>
      </c>
      <c r="S729" s="2" t="s">
        <v>1322</v>
      </c>
      <c r="V729" s="2" t="s">
        <v>1641</v>
      </c>
      <c r="W729" s="2">
        <v>2</v>
      </c>
    </row>
    <row r="730" spans="1:23" ht="15.75" customHeight="1" x14ac:dyDescent="0.35">
      <c r="A730" s="2" t="s">
        <v>23</v>
      </c>
      <c r="L730" s="2">
        <v>165</v>
      </c>
      <c r="M730" s="2" t="s">
        <v>390</v>
      </c>
      <c r="O730" s="2" t="s">
        <v>1642</v>
      </c>
      <c r="P730" s="2" t="str">
        <f ca="1">IFERROR(__xludf.DUMMYFUNCTION("GOOGLETRANSLATE(O730,""en"",""bn"")"),"বিজয় ঘোরাই")</f>
        <v>বিজয় ঘোরাই</v>
      </c>
      <c r="Q730" s="2" t="s">
        <v>1322</v>
      </c>
      <c r="S730" s="2" t="s">
        <v>1322</v>
      </c>
      <c r="V730" s="2" t="s">
        <v>1643</v>
      </c>
      <c r="W730" s="2">
        <v>2</v>
      </c>
    </row>
    <row r="731" spans="1:23" ht="15.75" customHeight="1" x14ac:dyDescent="0.35">
      <c r="A731" s="2" t="s">
        <v>23</v>
      </c>
      <c r="L731" s="2">
        <v>107</v>
      </c>
      <c r="M731" s="2" t="s">
        <v>32</v>
      </c>
      <c r="O731" s="2" t="s">
        <v>1644</v>
      </c>
      <c r="P731" s="2" t="str">
        <f ca="1">IFERROR(__xludf.DUMMYFUNCTION("GOOGLETRANSLATE(O731,""en"",""bn"")"),"বিপ্লব মিত্র")</f>
        <v>বিপ্লব মিত্র</v>
      </c>
      <c r="Q731" s="2" t="s">
        <v>1109</v>
      </c>
      <c r="S731" s="2" t="s">
        <v>1109</v>
      </c>
      <c r="V731" s="2" t="s">
        <v>1645</v>
      </c>
      <c r="W731" s="2">
        <v>2</v>
      </c>
    </row>
    <row r="732" spans="1:23" ht="15.75" customHeight="1" x14ac:dyDescent="0.35">
      <c r="A732" s="2" t="s">
        <v>23</v>
      </c>
      <c r="L732" s="2">
        <v>84</v>
      </c>
      <c r="M732" s="2" t="s">
        <v>297</v>
      </c>
      <c r="O732" s="2" t="s">
        <v>1646</v>
      </c>
      <c r="P732" s="2" t="str">
        <f ca="1">IFERROR(__xludf.DUMMYFUNCTION("GOOGLETRANSLATE(O732,""en"",""bn"")"),"বাপ্পা এসকে")</f>
        <v>বাপ্পা এসকে</v>
      </c>
      <c r="Q732" s="2" t="s">
        <v>1109</v>
      </c>
      <c r="S732" s="2" t="s">
        <v>1109</v>
      </c>
      <c r="V732" s="2" t="s">
        <v>1647</v>
      </c>
      <c r="W732" s="2">
        <v>2</v>
      </c>
    </row>
    <row r="733" spans="1:23" ht="15.75" customHeight="1" x14ac:dyDescent="0.35">
      <c r="A733" s="2" t="s">
        <v>23</v>
      </c>
      <c r="L733" s="2">
        <v>139</v>
      </c>
      <c r="M733" s="2" t="s">
        <v>238</v>
      </c>
      <c r="O733" s="2" t="s">
        <v>1648</v>
      </c>
      <c r="P733" s="2" t="str">
        <f ca="1">IFERROR(__xludf.DUMMYFUNCTION("GOOGLETRANSLATE(O733,""en"",""bn"")"),"সুজিত নস্কর")</f>
        <v>সুজিত নস্কর</v>
      </c>
      <c r="Q733" s="2" t="s">
        <v>92</v>
      </c>
      <c r="S733" s="2" t="s">
        <v>92</v>
      </c>
      <c r="V733" s="2" t="s">
        <v>1649</v>
      </c>
      <c r="W733" s="2">
        <v>2</v>
      </c>
    </row>
    <row r="734" spans="1:23" ht="15.75" customHeight="1" x14ac:dyDescent="0.35">
      <c r="A734" s="2" t="s">
        <v>23</v>
      </c>
      <c r="L734" s="2">
        <v>185</v>
      </c>
      <c r="M734" s="2" t="s">
        <v>241</v>
      </c>
      <c r="O734" s="2" t="s">
        <v>1650</v>
      </c>
      <c r="P734" s="2" t="str">
        <f ca="1">IFERROR(__xludf.DUMMYFUNCTION("GOOGLETRANSLATE(O734,""en"",""bn"")"),"সুভরঞ্জন শিকারী")</f>
        <v>সুভরঞ্জন শিকারী</v>
      </c>
      <c r="Q734" s="2" t="s">
        <v>1322</v>
      </c>
      <c r="S734" s="2" t="s">
        <v>1322</v>
      </c>
      <c r="V734" s="2" t="s">
        <v>1651</v>
      </c>
      <c r="W734" s="2">
        <v>2</v>
      </c>
    </row>
    <row r="735" spans="1:23" ht="15.75" customHeight="1" x14ac:dyDescent="0.35">
      <c r="A735" s="2" t="s">
        <v>23</v>
      </c>
      <c r="L735" s="2">
        <v>263</v>
      </c>
      <c r="M735" s="2" t="s">
        <v>78</v>
      </c>
      <c r="O735" s="2" t="s">
        <v>1652</v>
      </c>
      <c r="P735" s="2" t="str">
        <f ca="1">IFERROR(__xludf.DUMMYFUNCTION("GOOGLETRANSLATE(O735,""en"",""bn"")"),"সামসুল হোক শেখ")</f>
        <v>সামসুল হোক শেখ</v>
      </c>
      <c r="Q735" s="2" t="s">
        <v>1109</v>
      </c>
      <c r="S735" s="2" t="s">
        <v>1109</v>
      </c>
      <c r="V735" s="2" t="s">
        <v>1653</v>
      </c>
      <c r="W735" s="2">
        <v>2</v>
      </c>
    </row>
    <row r="736" spans="1:23" ht="15.75" customHeight="1" x14ac:dyDescent="0.35">
      <c r="A736" s="2" t="s">
        <v>23</v>
      </c>
      <c r="L736" s="2">
        <v>153</v>
      </c>
      <c r="M736" s="2" t="s">
        <v>345</v>
      </c>
      <c r="O736" s="2" t="s">
        <v>1654</v>
      </c>
      <c r="P736" s="2" t="str">
        <f ca="1">IFERROR(__xludf.DUMMYFUNCTION("GOOGLETRANSLATE(O736,""en"",""bn"")"),"আশীষ সামান্তা")</f>
        <v>আশীষ সামান্তা</v>
      </c>
      <c r="Q736" s="2" t="s">
        <v>92</v>
      </c>
      <c r="S736" s="2" t="s">
        <v>92</v>
      </c>
      <c r="V736" s="2" t="s">
        <v>1655</v>
      </c>
      <c r="W736" s="2">
        <v>2</v>
      </c>
    </row>
    <row r="737" spans="1:23" ht="15.75" customHeight="1" x14ac:dyDescent="0.35">
      <c r="A737" s="2" t="s">
        <v>23</v>
      </c>
      <c r="L737" s="2">
        <v>82</v>
      </c>
      <c r="M737" s="2" t="s">
        <v>375</v>
      </c>
      <c r="O737" s="2" t="s">
        <v>1656</v>
      </c>
      <c r="P737" s="2" t="str">
        <f ca="1">IFERROR(__xludf.DUMMYFUNCTION("GOOGLETRANSLATE(O737,""en"",""bn"")"),"মোজাম্মেল হোসেন মন্ডল (বালা)")</f>
        <v>মোজাম্মেল হোসেন মন্ডল (বালা)</v>
      </c>
      <c r="Q737" s="2" t="s">
        <v>92</v>
      </c>
      <c r="S737" s="2" t="s">
        <v>92</v>
      </c>
      <c r="V737" s="2" t="s">
        <v>1657</v>
      </c>
      <c r="W737" s="2">
        <v>2</v>
      </c>
    </row>
    <row r="738" spans="1:23" ht="15.75" customHeight="1" x14ac:dyDescent="0.35">
      <c r="A738" s="2" t="s">
        <v>23</v>
      </c>
      <c r="L738" s="2">
        <v>112</v>
      </c>
      <c r="M738" s="2" t="s">
        <v>196</v>
      </c>
      <c r="O738" s="2" t="s">
        <v>1658</v>
      </c>
      <c r="P738" s="2" t="str">
        <f ca="1">IFERROR(__xludf.DUMMYFUNCTION("GOOGLETRANSLATE(O738,""en"",""bn"")"),"পিন্টু কারার")</f>
        <v>পিন্টু কারার</v>
      </c>
      <c r="Q738" s="2" t="s">
        <v>1322</v>
      </c>
      <c r="S738" s="2" t="s">
        <v>1322</v>
      </c>
      <c r="V738" s="2" t="s">
        <v>1659</v>
      </c>
      <c r="W738" s="2">
        <v>2</v>
      </c>
    </row>
    <row r="739" spans="1:23" ht="15.75" customHeight="1" x14ac:dyDescent="0.35">
      <c r="A739" s="2" t="s">
        <v>23</v>
      </c>
      <c r="L739" s="2">
        <v>198</v>
      </c>
      <c r="M739" s="2" t="s">
        <v>381</v>
      </c>
      <c r="O739" s="2" t="s">
        <v>1660</v>
      </c>
      <c r="P739" s="2" t="str">
        <f ca="1">IFERROR(__xludf.DUMMYFUNCTION("GOOGLETRANSLATE(O739,""en"",""bn"")"),"আহমেদ আলমগীর মিদ্দ্যা")</f>
        <v>আহমেদ আলমগীর মিদ্দ্যা</v>
      </c>
      <c r="Q739" s="2" t="s">
        <v>1109</v>
      </c>
      <c r="S739" s="2" t="s">
        <v>1109</v>
      </c>
      <c r="V739" s="2" t="s">
        <v>1661</v>
      </c>
      <c r="W739" s="2">
        <v>2</v>
      </c>
    </row>
    <row r="740" spans="1:23" ht="15.75" customHeight="1" x14ac:dyDescent="0.35">
      <c r="A740" s="2" t="s">
        <v>23</v>
      </c>
      <c r="L740" s="2">
        <v>116</v>
      </c>
      <c r="M740" s="2" t="s">
        <v>39</v>
      </c>
      <c r="O740" s="2" t="s">
        <v>1662</v>
      </c>
      <c r="P740" s="2" t="str">
        <f ca="1">IFERROR(__xludf.DUMMYFUNCTION("GOOGLETRANSLATE(O740,""en"",""bn"")"),"শরৎ মুখার্জি")</f>
        <v>শরৎ মুখার্জি</v>
      </c>
      <c r="Q740" s="2" t="s">
        <v>1322</v>
      </c>
      <c r="S740" s="2" t="s">
        <v>1322</v>
      </c>
      <c r="V740" s="2" t="s">
        <v>1663</v>
      </c>
      <c r="W740" s="2">
        <v>2</v>
      </c>
    </row>
    <row r="741" spans="1:23" ht="15.75" customHeight="1" x14ac:dyDescent="0.35">
      <c r="A741" s="2" t="s">
        <v>23</v>
      </c>
      <c r="L741" s="2">
        <v>167</v>
      </c>
      <c r="M741" s="2" t="s">
        <v>109</v>
      </c>
      <c r="O741" s="2" t="s">
        <v>1664</v>
      </c>
      <c r="P741" s="2" t="str">
        <f ca="1">IFERROR(__xludf.DUMMYFUNCTION("GOOGLETRANSLATE(O741,""en"",""bn"")"),"প্রণতি পল")</f>
        <v>প্রণতি পল</v>
      </c>
      <c r="Q741" s="2" t="s">
        <v>1375</v>
      </c>
      <c r="S741" s="2" t="s">
        <v>1375</v>
      </c>
      <c r="V741" s="2" t="s">
        <v>1665</v>
      </c>
      <c r="W741" s="2">
        <v>2</v>
      </c>
    </row>
    <row r="742" spans="1:23" ht="15.75" customHeight="1" x14ac:dyDescent="0.35">
      <c r="A742" s="2" t="s">
        <v>23</v>
      </c>
      <c r="L742" s="2">
        <v>202</v>
      </c>
      <c r="M742" s="2" t="s">
        <v>312</v>
      </c>
      <c r="O742" s="2" t="s">
        <v>1666</v>
      </c>
      <c r="P742" s="2" t="str">
        <f ca="1">IFERROR(__xludf.DUMMYFUNCTION("GOOGLETRANSLATE(O742,""en"",""bn"")"),"এসকে মুজিবর রহমান")</f>
        <v>এসকে মুজিবর রহমান</v>
      </c>
      <c r="Q742" s="2" t="s">
        <v>1109</v>
      </c>
      <c r="S742" s="2" t="s">
        <v>1109</v>
      </c>
      <c r="V742" s="2" t="s">
        <v>1667</v>
      </c>
      <c r="W742" s="2">
        <v>2</v>
      </c>
    </row>
    <row r="743" spans="1:23" ht="15.75" customHeight="1" x14ac:dyDescent="0.35">
      <c r="A743" s="2" t="s">
        <v>23</v>
      </c>
      <c r="L743" s="2">
        <v>163</v>
      </c>
      <c r="M743" s="2" t="s">
        <v>363</v>
      </c>
      <c r="O743" s="2" t="s">
        <v>1668</v>
      </c>
      <c r="P743" s="2" t="str">
        <f ca="1">IFERROR(__xludf.DUMMYFUNCTION("GOOGLETRANSLATE(O743,""en"",""bn"")"),"শা আলম")</f>
        <v>শা আলম</v>
      </c>
      <c r="Q743" s="2" t="s">
        <v>1109</v>
      </c>
      <c r="S743" s="2" t="s">
        <v>1109</v>
      </c>
      <c r="V743" s="2" t="s">
        <v>1669</v>
      </c>
      <c r="W743" s="2">
        <v>2</v>
      </c>
    </row>
    <row r="744" spans="1:23" ht="15.75" customHeight="1" x14ac:dyDescent="0.35">
      <c r="A744" s="2" t="s">
        <v>23</v>
      </c>
      <c r="L744" s="2">
        <v>118</v>
      </c>
      <c r="M744" s="2" t="s">
        <v>121</v>
      </c>
      <c r="O744" s="2" t="s">
        <v>1670</v>
      </c>
      <c r="P744" s="2" t="str">
        <f ca="1">IFERROR(__xludf.DUMMYFUNCTION("GOOGLETRANSLATE(O744,""en"",""bn"")"),"নিত্যানন্দ ঘোষ")</f>
        <v>নিত্যানন্দ ঘোষ</v>
      </c>
      <c r="Q744" s="2" t="s">
        <v>92</v>
      </c>
      <c r="S744" s="2" t="s">
        <v>92</v>
      </c>
      <c r="V744" s="2" t="s">
        <v>1671</v>
      </c>
      <c r="W744" s="2">
        <v>2</v>
      </c>
    </row>
    <row r="745" spans="1:23" ht="15.75" customHeight="1" x14ac:dyDescent="0.35">
      <c r="A745" s="2" t="s">
        <v>23</v>
      </c>
      <c r="L745" s="2">
        <v>99</v>
      </c>
      <c r="M745" s="2" t="s">
        <v>268</v>
      </c>
      <c r="O745" s="2" t="s">
        <v>1672</v>
      </c>
      <c r="P745" s="2" t="str">
        <f ca="1">IFERROR(__xludf.DUMMYFUNCTION("GOOGLETRANSLATE(O745,""en"",""bn"")"),"এমডি. কুতুবুদ্দিন ফাতেহে")</f>
        <v>এমডি. কুতুবুদ্দিন ফাতেহে</v>
      </c>
      <c r="Q745" s="2" t="s">
        <v>1047</v>
      </c>
      <c r="S745" s="2" t="s">
        <v>1047</v>
      </c>
      <c r="V745" s="2" t="s">
        <v>1673</v>
      </c>
      <c r="W745" s="2">
        <v>2</v>
      </c>
    </row>
    <row r="746" spans="1:23" ht="15.75" customHeight="1" x14ac:dyDescent="0.35">
      <c r="A746" s="2" t="s">
        <v>23</v>
      </c>
      <c r="L746" s="2">
        <v>182</v>
      </c>
      <c r="M746" s="2" t="s">
        <v>97</v>
      </c>
      <c r="O746" s="2" t="s">
        <v>1674</v>
      </c>
      <c r="P746" s="2" t="str">
        <f ca="1">IFERROR(__xludf.DUMMYFUNCTION("GOOGLETRANSLATE(O746,""en"",""bn"")"),"সমীর মৈতি")</f>
        <v>সমীর মৈতি</v>
      </c>
      <c r="Q746" s="2" t="s">
        <v>1433</v>
      </c>
      <c r="S746" s="2" t="s">
        <v>1433</v>
      </c>
      <c r="V746" s="2" t="s">
        <v>1675</v>
      </c>
      <c r="W746" s="2">
        <v>2</v>
      </c>
    </row>
    <row r="747" spans="1:23" ht="15.75" customHeight="1" x14ac:dyDescent="0.35">
      <c r="A747" s="2" t="s">
        <v>23</v>
      </c>
      <c r="L747" s="2">
        <v>93</v>
      </c>
      <c r="M747" s="2" t="s">
        <v>187</v>
      </c>
      <c r="O747" s="2" t="s">
        <v>1676</v>
      </c>
      <c r="P747" s="2" t="str">
        <f ca="1">IFERROR(__xludf.DUMMYFUNCTION("GOOGLETRANSLATE(O747,""en"",""bn"")"),"অমিত সরকার")</f>
        <v>অমিত সরকার</v>
      </c>
      <c r="Q747" s="2" t="s">
        <v>1677</v>
      </c>
      <c r="S747" s="2" t="s">
        <v>1677</v>
      </c>
      <c r="V747" s="2" t="s">
        <v>1678</v>
      </c>
      <c r="W747" s="2">
        <v>2</v>
      </c>
    </row>
    <row r="748" spans="1:23" ht="15.75" customHeight="1" x14ac:dyDescent="0.35">
      <c r="A748" s="2" t="s">
        <v>23</v>
      </c>
      <c r="L748" s="2">
        <v>178</v>
      </c>
      <c r="M748" s="2" t="s">
        <v>226</v>
      </c>
      <c r="O748" s="2" t="s">
        <v>1679</v>
      </c>
      <c r="P748" s="2" t="str">
        <f ca="1">IFERROR(__xludf.DUMMYFUNCTION("GOOGLETRANSLATE(O748,""en"",""bn"")"),"মোহিত কর")</f>
        <v>মোহিত কর</v>
      </c>
      <c r="Q748" s="2" t="s">
        <v>1680</v>
      </c>
      <c r="S748" s="2" t="s">
        <v>1680</v>
      </c>
      <c r="V748" s="2" t="s">
        <v>1681</v>
      </c>
      <c r="W748" s="2">
        <v>2</v>
      </c>
    </row>
    <row r="749" spans="1:23" ht="15.75" customHeight="1" x14ac:dyDescent="0.35">
      <c r="A749" s="2" t="s">
        <v>23</v>
      </c>
      <c r="L749" s="2">
        <v>145</v>
      </c>
      <c r="M749" s="2" t="s">
        <v>166</v>
      </c>
      <c r="O749" s="2" t="s">
        <v>1682</v>
      </c>
      <c r="P749" s="2" t="str">
        <f ca="1">IFERROR(__xludf.DUMMYFUNCTION("GOOGLETRANSLATE(O749,""en"",""bn"")"),"পলাশ কেআর মন্ডল")</f>
        <v>পলাশ কেআর মন্ডল</v>
      </c>
      <c r="Q749" s="2" t="s">
        <v>1322</v>
      </c>
      <c r="S749" s="2" t="s">
        <v>1322</v>
      </c>
      <c r="V749" s="2" t="s">
        <v>1683</v>
      </c>
      <c r="W749" s="2">
        <v>2</v>
      </c>
    </row>
    <row r="750" spans="1:23" ht="15.75" customHeight="1" x14ac:dyDescent="0.35">
      <c r="A750" s="2" t="s">
        <v>23</v>
      </c>
      <c r="L750" s="2">
        <v>135</v>
      </c>
      <c r="M750" s="2" t="s">
        <v>333</v>
      </c>
      <c r="O750" s="2" t="s">
        <v>1684</v>
      </c>
      <c r="P750" s="2" t="str">
        <f ca="1">IFERROR(__xludf.DUMMYFUNCTION("GOOGLETRANSLATE(O750,""en"",""bn"")"),"অশোক কুমার গায়েন")</f>
        <v>অশোক কুমার গায়েন</v>
      </c>
      <c r="Q750" s="2" t="s">
        <v>1047</v>
      </c>
      <c r="S750" s="2" t="s">
        <v>1047</v>
      </c>
      <c r="V750" s="2" t="s">
        <v>1685</v>
      </c>
      <c r="W750" s="2">
        <v>2</v>
      </c>
    </row>
    <row r="751" spans="1:23" ht="15.75" customHeight="1" x14ac:dyDescent="0.35">
      <c r="A751" s="2" t="s">
        <v>23</v>
      </c>
      <c r="L751" s="2">
        <v>189</v>
      </c>
      <c r="M751" s="2" t="s">
        <v>223</v>
      </c>
      <c r="O751" s="2" t="s">
        <v>1686</v>
      </c>
      <c r="P751" s="2" t="str">
        <f ca="1">IFERROR(__xludf.DUMMYFUNCTION("GOOGLETRANSLATE(O751,""en"",""bn"")"),"কুমুদ মন্ডল")</f>
        <v>কুমুদ মন্ডল</v>
      </c>
      <c r="Q751" s="2" t="s">
        <v>92</v>
      </c>
      <c r="S751" s="2" t="s">
        <v>92</v>
      </c>
      <c r="V751" s="2" t="s">
        <v>1687</v>
      </c>
      <c r="W751" s="2">
        <v>2</v>
      </c>
    </row>
    <row r="752" spans="1:23" ht="15.75" customHeight="1" x14ac:dyDescent="0.35">
      <c r="A752" s="2" t="s">
        <v>23</v>
      </c>
      <c r="L752" s="2">
        <v>159</v>
      </c>
      <c r="M752" s="2" t="s">
        <v>157</v>
      </c>
      <c r="O752" s="2" t="s">
        <v>1688</v>
      </c>
      <c r="P752" s="2" t="str">
        <f ca="1">IFERROR(__xludf.DUMMYFUNCTION("GOOGLETRANSLATE(O752,""en"",""bn"")"),"মণিকা মুখার্জি")</f>
        <v>মণিকা মুখার্জি</v>
      </c>
      <c r="Q752" s="2" t="s">
        <v>1433</v>
      </c>
      <c r="S752" s="2" t="s">
        <v>1433</v>
      </c>
      <c r="V752" s="2" t="s">
        <v>1689</v>
      </c>
      <c r="W752" s="2">
        <v>2</v>
      </c>
    </row>
    <row r="753" spans="1:23" ht="15.75" customHeight="1" x14ac:dyDescent="0.35">
      <c r="A753" s="2" t="s">
        <v>23</v>
      </c>
      <c r="L753" s="2">
        <v>172</v>
      </c>
      <c r="M753" s="2" t="s">
        <v>28</v>
      </c>
      <c r="O753" s="2" t="s">
        <v>1690</v>
      </c>
      <c r="P753" s="2" t="str">
        <f ca="1">IFERROR(__xludf.DUMMYFUNCTION("GOOGLETRANSLATE(O753,""en"",""bn"")"),"কার্তিক শিল")</f>
        <v>কার্তিক শিল</v>
      </c>
      <c r="Q753" s="2" t="s">
        <v>92</v>
      </c>
      <c r="S753" s="2" t="s">
        <v>92</v>
      </c>
      <c r="V753" s="2" t="s">
        <v>1691</v>
      </c>
      <c r="W753" s="2">
        <v>2</v>
      </c>
    </row>
    <row r="754" spans="1:23" ht="15.75" customHeight="1" x14ac:dyDescent="0.35">
      <c r="A754" s="2" t="s">
        <v>23</v>
      </c>
      <c r="L754" s="2">
        <v>120</v>
      </c>
      <c r="M754" s="2" t="s">
        <v>309</v>
      </c>
      <c r="O754" s="2" t="s">
        <v>1692</v>
      </c>
      <c r="P754" s="2" t="str">
        <f ca="1">IFERROR(__xludf.DUMMYFUNCTION("GOOGLETRANSLATE(O754,""en"",""bn"")"),"ছাডেক মন্ডল")</f>
        <v>ছাডেক মন্ডল</v>
      </c>
      <c r="Q754" s="2" t="s">
        <v>92</v>
      </c>
      <c r="S754" s="2" t="s">
        <v>92</v>
      </c>
      <c r="V754" s="2" t="s">
        <v>1693</v>
      </c>
      <c r="W754" s="2">
        <v>2</v>
      </c>
    </row>
    <row r="755" spans="1:23" ht="15.75" customHeight="1" x14ac:dyDescent="0.35">
      <c r="A755" s="2" t="s">
        <v>23</v>
      </c>
      <c r="L755" s="2">
        <v>128</v>
      </c>
      <c r="M755" s="2" t="s">
        <v>124</v>
      </c>
      <c r="O755" s="2" t="s">
        <v>1694</v>
      </c>
      <c r="P755" s="2" t="str">
        <f ca="1">IFERROR(__xludf.DUMMYFUNCTION("GOOGLETRANSLATE(O755,""en"",""bn"")"),"সমর বিশ্বাস")</f>
        <v>সমর বিশ্বাস</v>
      </c>
      <c r="Q755" s="2" t="s">
        <v>1508</v>
      </c>
      <c r="S755" s="2" t="s">
        <v>1508</v>
      </c>
      <c r="V755" s="2" t="s">
        <v>1695</v>
      </c>
      <c r="W755" s="2">
        <v>2</v>
      </c>
    </row>
    <row r="756" spans="1:23" ht="15.75" customHeight="1" x14ac:dyDescent="0.35">
      <c r="A756" s="2" t="s">
        <v>23</v>
      </c>
      <c r="L756" s="2">
        <v>181</v>
      </c>
      <c r="M756" s="2" t="s">
        <v>193</v>
      </c>
      <c r="O756" s="2" t="s">
        <v>1696</v>
      </c>
      <c r="P756" s="2" t="str">
        <f ca="1">IFERROR(__xludf.DUMMYFUNCTION("GOOGLETRANSLATE(O756,""en"",""bn"")"),"এসকে মাসারেকুল আনোয়ার")</f>
        <v>এসকে মাসারেকুল আনোয়ার</v>
      </c>
      <c r="Q756" s="2" t="s">
        <v>1109</v>
      </c>
      <c r="S756" s="2" t="s">
        <v>1109</v>
      </c>
      <c r="V756" s="2" t="s">
        <v>1697</v>
      </c>
      <c r="W756" s="2">
        <v>2</v>
      </c>
    </row>
    <row r="757" spans="1:23" ht="15.75" customHeight="1" x14ac:dyDescent="0.35">
      <c r="A757" s="2" t="s">
        <v>23</v>
      </c>
      <c r="L757" s="2">
        <v>262</v>
      </c>
      <c r="M757" s="2" t="s">
        <v>417</v>
      </c>
      <c r="O757" s="2" t="s">
        <v>1698</v>
      </c>
      <c r="P757" s="2" t="str">
        <f ca="1">IFERROR(__xludf.DUMMYFUNCTION("GOOGLETRANSLATE(O757,""en"",""bn"")"),"আতাসি পাকরে")</f>
        <v>আতাসি পাকরে</v>
      </c>
      <c r="Q757" s="2" t="s">
        <v>92</v>
      </c>
      <c r="S757" s="2" t="s">
        <v>92</v>
      </c>
      <c r="V757" s="2" t="s">
        <v>1699</v>
      </c>
      <c r="W757" s="2">
        <v>2</v>
      </c>
    </row>
    <row r="758" spans="1:23" ht="15.75" customHeight="1" x14ac:dyDescent="0.35">
      <c r="A758" s="2" t="s">
        <v>23</v>
      </c>
      <c r="L758" s="2">
        <v>90</v>
      </c>
      <c r="M758" s="2" t="s">
        <v>280</v>
      </c>
      <c r="O758" s="2" t="s">
        <v>1700</v>
      </c>
      <c r="P758" s="2" t="str">
        <f ca="1">IFERROR(__xludf.DUMMYFUNCTION("GOOGLETRANSLATE(O758,""en"",""bn"")"),"নানি গোপাল মিস্ট্রি")</f>
        <v>নানি গোপাল মিস্ট্রি</v>
      </c>
      <c r="Q758" s="2" t="s">
        <v>92</v>
      </c>
      <c r="S758" s="2" t="s">
        <v>92</v>
      </c>
      <c r="V758" s="2" t="s">
        <v>1701</v>
      </c>
      <c r="W758" s="2">
        <v>2</v>
      </c>
    </row>
    <row r="759" spans="1:23" ht="15.75" customHeight="1" x14ac:dyDescent="0.35">
      <c r="A759" s="2" t="s">
        <v>23</v>
      </c>
      <c r="L759" s="2">
        <v>186</v>
      </c>
      <c r="M759" s="2" t="s">
        <v>250</v>
      </c>
      <c r="O759" s="2" t="s">
        <v>1702</v>
      </c>
      <c r="P759" s="2" t="str">
        <f ca="1">IFERROR(__xludf.DUMMYFUNCTION("GOOGLETRANSLATE(O759,""en"",""bn"")"),"সীমা পাল")</f>
        <v>সীমা পাল</v>
      </c>
      <c r="Q759" s="2" t="s">
        <v>1109</v>
      </c>
      <c r="S759" s="2" t="s">
        <v>1109</v>
      </c>
      <c r="V759" s="2" t="s">
        <v>1703</v>
      </c>
      <c r="W759" s="2">
        <v>2</v>
      </c>
    </row>
    <row r="760" spans="1:23" ht="15.75" customHeight="1" x14ac:dyDescent="0.35">
      <c r="A760" s="2" t="s">
        <v>23</v>
      </c>
      <c r="L760" s="2">
        <v>158</v>
      </c>
      <c r="M760" s="2" t="s">
        <v>57</v>
      </c>
      <c r="O760" s="2" t="s">
        <v>1704</v>
      </c>
      <c r="P760" s="2" t="str">
        <f ca="1">IFERROR(__xludf.DUMMYFUNCTION("GOOGLETRANSLATE(O760,""en"",""bn"")"),"এমডি ইমতিয়াজ আলম")</f>
        <v>এমডি ইমতিয়াজ আলম</v>
      </c>
      <c r="Q760" s="2" t="s">
        <v>1109</v>
      </c>
      <c r="S760" s="2" t="s">
        <v>1109</v>
      </c>
      <c r="V760" s="2" t="s">
        <v>1705</v>
      </c>
      <c r="W760" s="2">
        <v>2</v>
      </c>
    </row>
    <row r="761" spans="1:23" ht="15.75" customHeight="1" x14ac:dyDescent="0.35">
      <c r="A761" s="2" t="s">
        <v>23</v>
      </c>
      <c r="L761" s="2">
        <v>132</v>
      </c>
      <c r="M761" s="2" t="s">
        <v>220</v>
      </c>
      <c r="O761" s="2" t="s">
        <v>1706</v>
      </c>
      <c r="P761" s="2" t="str">
        <f ca="1">IFERROR(__xludf.DUMMYFUNCTION("GOOGLETRANSLATE(O761,""en"",""bn"")"),"অনুপম পানি")</f>
        <v>অনুপম পানি</v>
      </c>
      <c r="Q761" s="2" t="s">
        <v>92</v>
      </c>
      <c r="S761" s="2" t="s">
        <v>92</v>
      </c>
      <c r="V761" s="2" t="s">
        <v>1707</v>
      </c>
      <c r="W761" s="2">
        <v>2</v>
      </c>
    </row>
    <row r="762" spans="1:23" ht="15.75" customHeight="1" x14ac:dyDescent="0.35">
      <c r="A762" s="2" t="s">
        <v>23</v>
      </c>
      <c r="L762" s="2">
        <v>148</v>
      </c>
      <c r="M762" s="2" t="s">
        <v>408</v>
      </c>
      <c r="O762" s="2" t="s">
        <v>1708</v>
      </c>
      <c r="P762" s="2" t="str">
        <f ca="1">IFERROR(__xludf.DUMMYFUNCTION("GOOGLETRANSLATE(O762,""en"",""bn"")"),"রফিক আকুঞ্জি")</f>
        <v>রফিক আকুঞ্জি</v>
      </c>
      <c r="Q762" s="2" t="s">
        <v>92</v>
      </c>
      <c r="S762" s="2" t="s">
        <v>92</v>
      </c>
      <c r="V762" s="2" t="s">
        <v>1709</v>
      </c>
      <c r="W762" s="2">
        <v>2</v>
      </c>
    </row>
    <row r="763" spans="1:23" ht="15.75" customHeight="1" x14ac:dyDescent="0.35">
      <c r="A763" s="2" t="s">
        <v>23</v>
      </c>
      <c r="L763" s="2">
        <v>170</v>
      </c>
      <c r="M763" s="2" t="s">
        <v>438</v>
      </c>
      <c r="O763" s="2" t="s">
        <v>1710</v>
      </c>
      <c r="P763" s="2" t="str">
        <f ca="1">IFERROR(__xludf.DUMMYFUNCTION("GOOGLETRANSLATE(O763,""en"",""bn"")"),"গণেশলাল গুপ্ত")</f>
        <v>গণেশলাল গুপ্ত</v>
      </c>
      <c r="Q763" s="2" t="s">
        <v>1313</v>
      </c>
      <c r="S763" s="2" t="s">
        <v>1313</v>
      </c>
      <c r="V763" s="2" t="s">
        <v>1711</v>
      </c>
      <c r="W763" s="2">
        <v>2</v>
      </c>
    </row>
    <row r="764" spans="1:23" ht="15.75" customHeight="1" x14ac:dyDescent="0.35">
      <c r="A764" s="2" t="s">
        <v>23</v>
      </c>
      <c r="L764" s="2">
        <v>97</v>
      </c>
      <c r="M764" s="2" t="s">
        <v>423</v>
      </c>
      <c r="O764" s="2" t="s">
        <v>1712</v>
      </c>
      <c r="P764" s="2" t="str">
        <f ca="1">IFERROR(__xludf.DUMMYFUNCTION("GOOGLETRANSLATE(O764,""en"",""bn"")"),"সজল বিশ্বাস")</f>
        <v>সজল বিশ্বাস</v>
      </c>
      <c r="Q764" s="2" t="s">
        <v>1218</v>
      </c>
      <c r="S764" s="2" t="s">
        <v>1218</v>
      </c>
      <c r="V764" s="2" t="s">
        <v>1713</v>
      </c>
      <c r="W764" s="2">
        <v>2</v>
      </c>
    </row>
    <row r="765" spans="1:23" ht="15.75" customHeight="1" x14ac:dyDescent="0.35">
      <c r="A765" s="2" t="s">
        <v>23</v>
      </c>
      <c r="L765" s="2">
        <v>269</v>
      </c>
      <c r="M765" s="2" t="s">
        <v>378</v>
      </c>
      <c r="O765" s="2" t="s">
        <v>1714</v>
      </c>
      <c r="P765" s="2" t="str">
        <f ca="1">IFERROR(__xludf.DUMMYFUNCTION("GOOGLETRANSLATE(O765,""en"",""bn"")"),"অভিজিৎ দাস")</f>
        <v>অভিজিৎ দাস</v>
      </c>
      <c r="Q765" s="2" t="s">
        <v>1322</v>
      </c>
      <c r="S765" s="2" t="s">
        <v>1322</v>
      </c>
      <c r="V765" s="2" t="s">
        <v>1715</v>
      </c>
      <c r="W765" s="2">
        <v>2</v>
      </c>
    </row>
    <row r="766" spans="1:23" ht="15.75" customHeight="1" x14ac:dyDescent="0.35">
      <c r="A766" s="2" t="s">
        <v>23</v>
      </c>
      <c r="L766" s="2">
        <v>130</v>
      </c>
      <c r="M766" s="2" t="s">
        <v>447</v>
      </c>
      <c r="O766" s="2" t="s">
        <v>1716</v>
      </c>
      <c r="P766" s="2" t="str">
        <f ca="1">IFERROR(__xludf.DUMMYFUNCTION("GOOGLETRANSLATE(O766,""en"",""bn"")"),"নারায়ণ হালদার")</f>
        <v>নারায়ণ হালদার</v>
      </c>
      <c r="Q766" s="2" t="s">
        <v>92</v>
      </c>
      <c r="S766" s="2" t="s">
        <v>92</v>
      </c>
      <c r="V766" s="2" t="s">
        <v>1717</v>
      </c>
      <c r="W766" s="2">
        <v>2</v>
      </c>
    </row>
    <row r="767" spans="1:23" ht="15.75" customHeight="1" x14ac:dyDescent="0.35">
      <c r="A767" s="2" t="s">
        <v>23</v>
      </c>
      <c r="L767" s="2">
        <v>143</v>
      </c>
      <c r="M767" s="2" t="s">
        <v>163</v>
      </c>
      <c r="O767" s="2" t="s">
        <v>1718</v>
      </c>
      <c r="P767" s="2" t="str">
        <f ca="1">IFERROR(__xludf.DUMMYFUNCTION("GOOGLETRANSLATE(O767,""en"",""bn"")"),"ইয়ামিন লাস্কার")</f>
        <v>ইয়ামিন লাস্কার</v>
      </c>
      <c r="Q767" s="2" t="s">
        <v>1109</v>
      </c>
      <c r="S767" s="2" t="s">
        <v>1109</v>
      </c>
      <c r="V767" s="2" t="s">
        <v>1719</v>
      </c>
      <c r="W767" s="2">
        <v>2</v>
      </c>
    </row>
    <row r="768" spans="1:23" ht="15.75" customHeight="1" x14ac:dyDescent="0.35">
      <c r="A768" s="2" t="s">
        <v>23</v>
      </c>
      <c r="L768" s="2">
        <v>87</v>
      </c>
      <c r="M768" s="2" t="s">
        <v>351</v>
      </c>
      <c r="O768" s="2" t="s">
        <v>1720</v>
      </c>
      <c r="P768" s="2" t="str">
        <f ca="1">IFERROR(__xludf.DUMMYFUNCTION("GOOGLETRANSLATE(O768,""en"",""bn"")"),"অপর্ণা গুহ")</f>
        <v>অপর্ণা গুহ</v>
      </c>
      <c r="Q768" s="2" t="s">
        <v>92</v>
      </c>
      <c r="S768" s="2" t="s">
        <v>92</v>
      </c>
      <c r="V768" s="2" t="s">
        <v>1721</v>
      </c>
      <c r="W768" s="2">
        <v>2</v>
      </c>
    </row>
    <row r="769" spans="1:23" ht="15.75" customHeight="1" x14ac:dyDescent="0.35">
      <c r="A769" s="2" t="s">
        <v>23</v>
      </c>
      <c r="L769" s="2">
        <v>150</v>
      </c>
      <c r="M769" s="2" t="s">
        <v>181</v>
      </c>
      <c r="O769" s="2" t="s">
        <v>1722</v>
      </c>
      <c r="P769" s="2" t="str">
        <f ca="1">IFERROR(__xludf.DUMMYFUNCTION("GOOGLETRANSLATE(O769,""en"",""bn"")"),"কৃষ্ণু নাগ")</f>
        <v>কৃষ্ণু নাগ</v>
      </c>
      <c r="Q769" s="2" t="s">
        <v>1322</v>
      </c>
      <c r="S769" s="2" t="s">
        <v>1322</v>
      </c>
      <c r="V769" s="2" t="s">
        <v>1723</v>
      </c>
      <c r="W769" s="2">
        <v>2</v>
      </c>
    </row>
    <row r="770" spans="1:23" ht="15.75" customHeight="1" x14ac:dyDescent="0.35">
      <c r="A770" s="2" t="s">
        <v>23</v>
      </c>
      <c r="L770" s="2">
        <v>81</v>
      </c>
      <c r="M770" s="2" t="s">
        <v>217</v>
      </c>
      <c r="O770" s="2" t="s">
        <v>1724</v>
      </c>
      <c r="P770" s="2" t="str">
        <f ca="1">IFERROR(__xludf.DUMMYFUNCTION("GOOGLETRANSLATE(O770,""en"",""bn"")"),"জেবুন্নেসা মুনশি")</f>
        <v>জেবুন্নেসা মুনশি</v>
      </c>
      <c r="Q770" s="2" t="s">
        <v>1109</v>
      </c>
      <c r="S770" s="2" t="s">
        <v>1109</v>
      </c>
      <c r="V770" s="2" t="s">
        <v>1725</v>
      </c>
      <c r="W770" s="2">
        <v>2</v>
      </c>
    </row>
    <row r="771" spans="1:23" ht="15.75" customHeight="1" x14ac:dyDescent="0.35">
      <c r="A771" s="2" t="s">
        <v>23</v>
      </c>
      <c r="L771" s="2">
        <v>259</v>
      </c>
      <c r="M771" s="2" t="s">
        <v>453</v>
      </c>
      <c r="O771" s="2" t="s">
        <v>1726</v>
      </c>
      <c r="P771" s="2" t="str">
        <f ca="1">IFERROR(__xludf.DUMMYFUNCTION("GOOGLETRANSLATE(O771,""en"",""bn"")"),"বিজয় কুমার মাঝি")</f>
        <v>বিজয় কুমার মাঝি</v>
      </c>
      <c r="Q771" s="2" t="s">
        <v>1322</v>
      </c>
      <c r="S771" s="2" t="s">
        <v>1322</v>
      </c>
      <c r="V771" s="2" t="s">
        <v>1727</v>
      </c>
      <c r="W771" s="2">
        <v>2</v>
      </c>
    </row>
    <row r="772" spans="1:23" ht="15.75" customHeight="1" x14ac:dyDescent="0.35">
      <c r="A772" s="2" t="s">
        <v>23</v>
      </c>
      <c r="L772" s="2">
        <v>169</v>
      </c>
      <c r="M772" s="2" t="s">
        <v>90</v>
      </c>
      <c r="O772" s="2" t="s">
        <v>1728</v>
      </c>
      <c r="P772" s="2" t="str">
        <f ca="1">IFERROR(__xludf.DUMMYFUNCTION("GOOGLETRANSLATE(O772,""en"",""bn"")"),"প্রিয়াঙ্কা চৌধুরী")</f>
        <v>প্রিয়াঙ্কা চৌধুরী</v>
      </c>
      <c r="Q772" s="2" t="s">
        <v>41</v>
      </c>
      <c r="S772" s="2" t="s">
        <v>41</v>
      </c>
      <c r="V772" s="2" t="s">
        <v>1729</v>
      </c>
      <c r="W772" s="2">
        <v>2</v>
      </c>
    </row>
    <row r="773" spans="1:23" ht="15.75" customHeight="1" x14ac:dyDescent="0.35">
      <c r="A773" s="2" t="s">
        <v>23</v>
      </c>
      <c r="L773" s="2">
        <v>191</v>
      </c>
      <c r="M773" s="2" t="s">
        <v>271</v>
      </c>
      <c r="O773" s="2" t="s">
        <v>1730</v>
      </c>
      <c r="P773" s="2" t="str">
        <f ca="1">IFERROR(__xludf.DUMMYFUNCTION("GOOGLETRANSLATE(O773,""en"",""bn"")"),"সুকদেব বিশ্বাস")</f>
        <v>সুকদেব বিশ্বাস</v>
      </c>
      <c r="Q773" s="2" t="s">
        <v>92</v>
      </c>
      <c r="S773" s="2" t="s">
        <v>92</v>
      </c>
      <c r="V773" s="2" t="s">
        <v>1731</v>
      </c>
      <c r="W773" s="2">
        <v>2</v>
      </c>
    </row>
    <row r="774" spans="1:23" ht="15.75" customHeight="1" x14ac:dyDescent="0.35">
      <c r="A774" s="2" t="s">
        <v>23</v>
      </c>
      <c r="L774" s="2">
        <v>261</v>
      </c>
      <c r="M774" s="2" t="s">
        <v>184</v>
      </c>
      <c r="O774" s="2" t="s">
        <v>1732</v>
      </c>
      <c r="P774" s="2" t="str">
        <f ca="1">IFERROR(__xludf.DUMMYFUNCTION("GOOGLETRANSLATE(O774,""en"",""bn"")"),"জাবা মালিক")</f>
        <v>জাবা মালিক</v>
      </c>
      <c r="Q774" s="2" t="s">
        <v>1322</v>
      </c>
      <c r="S774" s="2" t="s">
        <v>1322</v>
      </c>
      <c r="V774" s="2" t="s">
        <v>1733</v>
      </c>
      <c r="W774" s="2">
        <v>2</v>
      </c>
    </row>
    <row r="775" spans="1:23" ht="15.75" customHeight="1" x14ac:dyDescent="0.35">
      <c r="A775" s="2" t="s">
        <v>23</v>
      </c>
      <c r="L775" s="2">
        <v>77</v>
      </c>
      <c r="M775" s="2" t="s">
        <v>202</v>
      </c>
      <c r="O775" s="2" t="s">
        <v>1734</v>
      </c>
      <c r="P775" s="2" t="str">
        <f ca="1">IFERROR(__xludf.DUMMYFUNCTION("GOOGLETRANSLATE(O775,""en"",""bn"")"),"ধনপতি মণ্ডল")</f>
        <v>ধনপতি মণ্ডল</v>
      </c>
      <c r="Q775" s="2" t="s">
        <v>92</v>
      </c>
      <c r="S775" s="2" t="s">
        <v>92</v>
      </c>
      <c r="V775" s="2" t="s">
        <v>1735</v>
      </c>
      <c r="W775" s="2">
        <v>2</v>
      </c>
    </row>
    <row r="776" spans="1:23" ht="15.75" customHeight="1" x14ac:dyDescent="0.35">
      <c r="A776" s="2" t="s">
        <v>23</v>
      </c>
      <c r="L776" s="2">
        <v>152</v>
      </c>
      <c r="M776" s="2" t="s">
        <v>450</v>
      </c>
      <c r="O776" s="2" t="s">
        <v>1736</v>
      </c>
      <c r="P776" s="2" t="str">
        <f ca="1">IFERROR(__xludf.DUMMYFUNCTION("GOOGLETRANSLATE(O776,""en"",""bn"")"),"সুমিতা ব্যানার্জী")</f>
        <v>সুমিতা ব্যানার্জী</v>
      </c>
      <c r="Q776" s="2" t="s">
        <v>92</v>
      </c>
      <c r="S776" s="2" t="s">
        <v>92</v>
      </c>
      <c r="V776" s="2" t="s">
        <v>1737</v>
      </c>
      <c r="W776" s="2">
        <v>2</v>
      </c>
    </row>
    <row r="777" spans="1:23" ht="15.75" customHeight="1" x14ac:dyDescent="0.35">
      <c r="A777" s="2" t="s">
        <v>23</v>
      </c>
      <c r="L777" s="2">
        <v>273</v>
      </c>
      <c r="M777" s="2" t="s">
        <v>318</v>
      </c>
      <c r="O777" s="2" t="s">
        <v>1738</v>
      </c>
      <c r="P777" s="2" t="str">
        <f ca="1">IFERROR(__xludf.DUMMYFUNCTION("GOOGLETRANSLATE(O777,""en"",""bn"")"),"নিহার কুমার হাজরা")</f>
        <v>নিহার কুমার হাজরা</v>
      </c>
      <c r="Q777" s="2" t="s">
        <v>1322</v>
      </c>
      <c r="S777" s="2" t="s">
        <v>1322</v>
      </c>
      <c r="V777" s="2" t="s">
        <v>1739</v>
      </c>
      <c r="W777" s="2">
        <v>2</v>
      </c>
    </row>
    <row r="778" spans="1:23" ht="15.75" customHeight="1" x14ac:dyDescent="0.35">
      <c r="A778" s="2" t="s">
        <v>23</v>
      </c>
      <c r="L778" s="2">
        <v>88</v>
      </c>
      <c r="M778" s="2" t="s">
        <v>306</v>
      </c>
      <c r="O778" s="2" t="s">
        <v>1740</v>
      </c>
      <c r="P778" s="2" t="str">
        <f ca="1">IFERROR(__xludf.DUMMYFUNCTION("GOOGLETRANSLATE(O778,""en"",""bn"")"),"অসিত বরণ বিশ্বাস")</f>
        <v>অসিত বরণ বিশ্বাস</v>
      </c>
      <c r="Q778" s="2" t="s">
        <v>92</v>
      </c>
      <c r="S778" s="2" t="s">
        <v>92</v>
      </c>
      <c r="V778" s="2" t="s">
        <v>1741</v>
      </c>
      <c r="W778" s="2">
        <v>2</v>
      </c>
    </row>
    <row r="779" spans="1:23" ht="15.75" customHeight="1" x14ac:dyDescent="0.35">
      <c r="A779" s="2" t="s">
        <v>23</v>
      </c>
      <c r="L779" s="2">
        <v>136</v>
      </c>
      <c r="M779" s="2" t="s">
        <v>43</v>
      </c>
      <c r="O779" s="2" t="s">
        <v>1742</v>
      </c>
      <c r="P779" s="2" t="str">
        <f ca="1">IFERROR(__xludf.DUMMYFUNCTION("GOOGLETRANSLATE(O779,""en"",""bn"")"),"নিরঞ্জন নস্কর")</f>
        <v>নিরঞ্জন নস্কর</v>
      </c>
      <c r="Q779" s="2" t="s">
        <v>92</v>
      </c>
      <c r="S779" s="2" t="s">
        <v>92</v>
      </c>
      <c r="V779" s="2" t="s">
        <v>1743</v>
      </c>
      <c r="W779" s="2">
        <v>2</v>
      </c>
    </row>
    <row r="780" spans="1:23" ht="15.75" customHeight="1" x14ac:dyDescent="0.35">
      <c r="A780" s="2" t="s">
        <v>23</v>
      </c>
      <c r="L780" s="2">
        <v>271</v>
      </c>
      <c r="M780" s="2" t="s">
        <v>444</v>
      </c>
      <c r="O780" s="2" t="s">
        <v>1744</v>
      </c>
      <c r="P780" s="2" t="str">
        <f ca="1">IFERROR(__xludf.DUMMYFUNCTION("GOOGLETRANSLATE(O780,""en"",""bn"")"),"সত্যনারায়ণ মন্ডল")</f>
        <v>সত্যনারায়ণ মন্ডল</v>
      </c>
      <c r="Q780" s="2" t="s">
        <v>92</v>
      </c>
      <c r="S780" s="2" t="s">
        <v>92</v>
      </c>
      <c r="V780" s="2" t="s">
        <v>1745</v>
      </c>
      <c r="W780" s="2">
        <v>2</v>
      </c>
    </row>
    <row r="781" spans="1:23" ht="15.75" customHeight="1" x14ac:dyDescent="0.35">
      <c r="A781" s="2" t="s">
        <v>23</v>
      </c>
      <c r="L781" s="2">
        <v>200</v>
      </c>
      <c r="M781" s="2" t="s">
        <v>151</v>
      </c>
      <c r="O781" s="2" t="s">
        <v>1746</v>
      </c>
      <c r="P781" s="2" t="str">
        <f ca="1">IFERROR(__xludf.DUMMYFUNCTION("GOOGLETRANSLATE(O781,""en"",""bn"")"),"হেমন্ত ব্যাগ")</f>
        <v>হেমন্ত ব্যাগ</v>
      </c>
      <c r="Q781" s="2" t="s">
        <v>1322</v>
      </c>
      <c r="S781" s="2" t="s">
        <v>1322</v>
      </c>
      <c r="V781" s="2" t="s">
        <v>1747</v>
      </c>
      <c r="W781" s="2">
        <v>2</v>
      </c>
    </row>
    <row r="782" spans="1:23" ht="15.75" customHeight="1" x14ac:dyDescent="0.35">
      <c r="A782" s="2" t="s">
        <v>23</v>
      </c>
      <c r="L782" s="2">
        <v>119</v>
      </c>
      <c r="M782" s="2" t="s">
        <v>327</v>
      </c>
      <c r="O782" s="2" t="s">
        <v>1748</v>
      </c>
      <c r="P782" s="2" t="str">
        <f ca="1">IFERROR(__xludf.DUMMYFUNCTION("GOOGLETRANSLATE(O782,""en"",""bn"")"),"অবহিজিত মুখার্জি")</f>
        <v>অবহিজিত মুখার্জি</v>
      </c>
      <c r="Q782" s="2" t="s">
        <v>92</v>
      </c>
      <c r="S782" s="2" t="s">
        <v>92</v>
      </c>
      <c r="V782" s="2" t="s">
        <v>1749</v>
      </c>
      <c r="W782" s="2">
        <v>2</v>
      </c>
    </row>
    <row r="783" spans="1:23" ht="15.75" customHeight="1" x14ac:dyDescent="0.35">
      <c r="A783" s="2" t="s">
        <v>23</v>
      </c>
      <c r="L783" s="2">
        <v>134</v>
      </c>
      <c r="M783" s="2" t="s">
        <v>274</v>
      </c>
      <c r="O783" s="2" t="s">
        <v>1750</v>
      </c>
      <c r="P783" s="2" t="str">
        <f ca="1">IFERROR(__xludf.DUMMYFUNCTION("GOOGLETRANSLATE(O783,""en"",""bn"")"),"গুণসিন্ধু হালদার")</f>
        <v>গুণসিন্ধু হালদার</v>
      </c>
      <c r="Q783" s="2" t="s">
        <v>92</v>
      </c>
      <c r="S783" s="2" t="s">
        <v>92</v>
      </c>
      <c r="V783" s="2" t="s">
        <v>1751</v>
      </c>
      <c r="W783" s="2">
        <v>2</v>
      </c>
    </row>
    <row r="784" spans="1:23" ht="15.75" customHeight="1" x14ac:dyDescent="0.35">
      <c r="A784" s="2" t="s">
        <v>23</v>
      </c>
      <c r="L784" s="2">
        <v>173</v>
      </c>
      <c r="M784" s="2" t="s">
        <v>127</v>
      </c>
      <c r="O784" s="2" t="s">
        <v>1752</v>
      </c>
      <c r="P784" s="2" t="str">
        <f ca="1">IFERROR(__xludf.DUMMYFUNCTION("GOOGLETRANSLATE(O784,""en"",""bn"")"),"অভিজিৎ দাস")</f>
        <v>অভিজিৎ দাস</v>
      </c>
      <c r="Q784" s="2" t="s">
        <v>1322</v>
      </c>
      <c r="S784" s="2" t="s">
        <v>1322</v>
      </c>
      <c r="V784" s="2" t="s">
        <v>1753</v>
      </c>
      <c r="W784" s="2">
        <v>2</v>
      </c>
    </row>
    <row r="785" spans="1:23" ht="15.75" customHeight="1" x14ac:dyDescent="0.35">
      <c r="A785" s="2" t="s">
        <v>23</v>
      </c>
      <c r="L785" s="2">
        <v>105</v>
      </c>
      <c r="M785" s="2" t="s">
        <v>342</v>
      </c>
      <c r="O785" s="2" t="s">
        <v>1149</v>
      </c>
      <c r="P785" s="2" t="str">
        <f ca="1">IFERROR(__xludf.DUMMYFUNCTION("GOOGLETRANSLATE(O785,""en"",""bn"")"),"সুজিত বোস")</f>
        <v>সুজিত বোস</v>
      </c>
      <c r="Q785" s="2" t="s">
        <v>92</v>
      </c>
      <c r="S785" s="2" t="s">
        <v>92</v>
      </c>
      <c r="V785" s="2" t="s">
        <v>1754</v>
      </c>
      <c r="W785" s="2">
        <v>2</v>
      </c>
    </row>
    <row r="786" spans="1:23" ht="15.75" customHeight="1" x14ac:dyDescent="0.35">
      <c r="A786" s="2" t="s">
        <v>23</v>
      </c>
      <c r="L786" s="2">
        <v>89</v>
      </c>
      <c r="M786" s="2" t="s">
        <v>426</v>
      </c>
      <c r="O786" s="2" t="s">
        <v>1755</v>
      </c>
      <c r="P786" s="2" t="str">
        <f ca="1">IFERROR(__xludf.DUMMYFUNCTION("GOOGLETRANSLATE(O786,""en"",""bn"")"),"জগদীশ মন্ডল (জোগো)")</f>
        <v>জগদীশ মন্ডল (জোগো)</v>
      </c>
      <c r="Q786" s="2" t="s">
        <v>92</v>
      </c>
      <c r="S786" s="2" t="s">
        <v>92</v>
      </c>
      <c r="V786" s="2" t="s">
        <v>1756</v>
      </c>
      <c r="W786" s="2">
        <v>2</v>
      </c>
    </row>
    <row r="787" spans="1:23" ht="15.75" customHeight="1" x14ac:dyDescent="0.35">
      <c r="A787" s="2" t="s">
        <v>23</v>
      </c>
      <c r="L787" s="2">
        <v>155</v>
      </c>
      <c r="M787" s="2" t="s">
        <v>262</v>
      </c>
      <c r="O787" s="2" t="s">
        <v>1757</v>
      </c>
      <c r="P787" s="2" t="str">
        <f ca="1">IFERROR(__xludf.DUMMYFUNCTION("GOOGLETRANSLATE(O787,""en"",""bn"")"),"মোহাম্মদ আসলাম")</f>
        <v>মোহাম্মদ আসলাম</v>
      </c>
      <c r="Q787" s="2" t="s">
        <v>1109</v>
      </c>
      <c r="S787" s="2" t="s">
        <v>1109</v>
      </c>
      <c r="V787" s="2" t="s">
        <v>1758</v>
      </c>
      <c r="W787" s="2">
        <v>2</v>
      </c>
    </row>
    <row r="788" spans="1:23" ht="15.75" customHeight="1" x14ac:dyDescent="0.35">
      <c r="A788" s="2" t="s">
        <v>23</v>
      </c>
      <c r="L788" s="2">
        <v>86</v>
      </c>
      <c r="M788" s="2" t="s">
        <v>432</v>
      </c>
      <c r="O788" s="2" t="s">
        <v>1759</v>
      </c>
      <c r="P788" s="2" t="str">
        <f ca="1">IFERROR(__xludf.DUMMYFUNCTION("GOOGLETRANSLATE(O788,""en"",""bn"")"),"আবু হেনা মোস্তফা কামাল")</f>
        <v>আবু হেনা মোস্তফা কামাল</v>
      </c>
      <c r="Q788" s="2" t="s">
        <v>1109</v>
      </c>
      <c r="S788" s="2" t="s">
        <v>1109</v>
      </c>
      <c r="V788" s="2" t="s">
        <v>1760</v>
      </c>
      <c r="W788" s="2">
        <v>2</v>
      </c>
    </row>
    <row r="789" spans="1:23" ht="15.75" customHeight="1" x14ac:dyDescent="0.35">
      <c r="A789" s="2" t="s">
        <v>23</v>
      </c>
      <c r="L789" s="2">
        <v>270</v>
      </c>
      <c r="M789" s="2" t="s">
        <v>315</v>
      </c>
      <c r="O789" s="2" t="s">
        <v>1761</v>
      </c>
      <c r="P789" s="2" t="str">
        <f ca="1">IFERROR(__xludf.DUMMYFUNCTION("GOOGLETRANSLATE(O789,""en"",""bn"")"),"অপূর্ব চক্রবর্তী")</f>
        <v>অপূর্ব চক্রবর্তী</v>
      </c>
      <c r="Q789" s="2" t="s">
        <v>92</v>
      </c>
      <c r="S789" s="2" t="s">
        <v>92</v>
      </c>
      <c r="V789" s="2" t="s">
        <v>1762</v>
      </c>
      <c r="W789" s="2">
        <v>2</v>
      </c>
    </row>
    <row r="790" spans="1:23" ht="15.75" customHeight="1" x14ac:dyDescent="0.35">
      <c r="A790" s="2" t="s">
        <v>23</v>
      </c>
      <c r="L790" s="2">
        <v>115</v>
      </c>
      <c r="M790" s="2" t="s">
        <v>84</v>
      </c>
      <c r="O790" s="2" t="s">
        <v>1763</v>
      </c>
      <c r="P790" s="2" t="str">
        <f ca="1">IFERROR(__xludf.DUMMYFUNCTION("GOOGLETRANSLATE(O790,""en"",""bn"")"),"ফিরদাউস আলী মোল্লা")</f>
        <v>ফিরদাউস আলী মোল্লা</v>
      </c>
      <c r="Q790" s="2" t="s">
        <v>1109</v>
      </c>
      <c r="S790" s="2" t="s">
        <v>1109</v>
      </c>
      <c r="V790" s="2" t="s">
        <v>1764</v>
      </c>
      <c r="W790" s="2">
        <v>2</v>
      </c>
    </row>
    <row r="791" spans="1:23" ht="15.75" customHeight="1" x14ac:dyDescent="0.35">
      <c r="A791" s="2" t="s">
        <v>23</v>
      </c>
      <c r="L791" s="2">
        <v>108</v>
      </c>
      <c r="M791" s="2" t="s">
        <v>441</v>
      </c>
      <c r="O791" s="2" t="s">
        <v>1765</v>
      </c>
      <c r="P791" s="2" t="str">
        <f ca="1">IFERROR(__xludf.DUMMYFUNCTION("GOOGLETRANSLATE(O791,""en"",""bn"")"),"জাকির হুসেন")</f>
        <v>জাকির হুসেন</v>
      </c>
      <c r="Q791" s="2" t="s">
        <v>1109</v>
      </c>
      <c r="S791" s="2" t="s">
        <v>1109</v>
      </c>
      <c r="V791" s="2" t="s">
        <v>1766</v>
      </c>
      <c r="W791" s="2">
        <v>2</v>
      </c>
    </row>
    <row r="792" spans="1:23" ht="15.75" customHeight="1" x14ac:dyDescent="0.35">
      <c r="A792" s="2" t="s">
        <v>23</v>
      </c>
      <c r="L792" s="2">
        <v>92</v>
      </c>
      <c r="M792" s="2" t="s">
        <v>321</v>
      </c>
      <c r="O792" s="2" t="s">
        <v>1767</v>
      </c>
      <c r="P792" s="2" t="str">
        <f ca="1">IFERROR(__xludf.DUMMYFUNCTION("GOOGLETRANSLATE(O792,""en"",""bn"")"),"প্রাণকৃষ্ণ বিশ্বাস (বাবু)")</f>
        <v>প্রাণকৃষ্ণ বিশ্বাস (বাবু)</v>
      </c>
      <c r="Q792" s="2" t="s">
        <v>92</v>
      </c>
      <c r="S792" s="2" t="s">
        <v>92</v>
      </c>
      <c r="V792" s="2" t="s">
        <v>1768</v>
      </c>
      <c r="W792" s="2">
        <v>2</v>
      </c>
    </row>
    <row r="793" spans="1:23" ht="15.75" customHeight="1" x14ac:dyDescent="0.35">
      <c r="A793" s="2" t="s">
        <v>23</v>
      </c>
      <c r="L793" s="2">
        <v>109</v>
      </c>
      <c r="M793" s="2" t="s">
        <v>336</v>
      </c>
      <c r="O793" s="2" t="s">
        <v>1769</v>
      </c>
      <c r="P793" s="2" t="str">
        <f ca="1">IFERROR(__xludf.DUMMYFUNCTION("GOOGLETRANSLATE(O793,""en"",""bn"")"),"দেব কুমার বিশ্বাস")</f>
        <v>দেব কুমার বিশ্বাস</v>
      </c>
      <c r="Q793" s="2" t="s">
        <v>1555</v>
      </c>
      <c r="S793" s="2" t="s">
        <v>1555</v>
      </c>
      <c r="V793" s="2" t="s">
        <v>1770</v>
      </c>
      <c r="W793" s="2">
        <v>2</v>
      </c>
    </row>
    <row r="794" spans="1:23" ht="15.75" customHeight="1" x14ac:dyDescent="0.35">
      <c r="A794" s="2" t="s">
        <v>23</v>
      </c>
      <c r="L794" s="2">
        <v>274</v>
      </c>
      <c r="M794" s="2" t="s">
        <v>366</v>
      </c>
      <c r="O794" s="2" t="s">
        <v>1771</v>
      </c>
      <c r="P794" s="2" t="str">
        <f ca="1">IFERROR(__xludf.DUMMYFUNCTION("GOOGLETRANSLATE(O794,""en"",""bn"")"),"অম্লান কৃষ্ণ সরকার")</f>
        <v>অম্লান কৃষ্ণ সরকার</v>
      </c>
      <c r="Q794" s="2" t="s">
        <v>1109</v>
      </c>
      <c r="S794" s="2" t="s">
        <v>1109</v>
      </c>
      <c r="V794" s="2" t="s">
        <v>1772</v>
      </c>
      <c r="W794" s="2">
        <v>2</v>
      </c>
    </row>
    <row r="795" spans="1:23" ht="15.75" customHeight="1" x14ac:dyDescent="0.35">
      <c r="A795" s="2" t="s">
        <v>23</v>
      </c>
      <c r="L795" s="2">
        <v>175</v>
      </c>
      <c r="M795" s="2" t="s">
        <v>330</v>
      </c>
      <c r="O795" s="2" t="s">
        <v>1773</v>
      </c>
      <c r="P795" s="2" t="str">
        <f ca="1">IFERROR(__xludf.DUMMYFUNCTION("GOOGLETRANSLATE(O795,""en"",""bn"")"),"শ্যামল মন্ডল")</f>
        <v>শ্যামল মন্ডল</v>
      </c>
      <c r="Q795" s="2" t="s">
        <v>1322</v>
      </c>
      <c r="S795" s="2" t="s">
        <v>1322</v>
      </c>
      <c r="V795" s="2" t="s">
        <v>1774</v>
      </c>
      <c r="W795" s="2">
        <v>2</v>
      </c>
    </row>
    <row r="796" spans="1:23" ht="15.75" customHeight="1" x14ac:dyDescent="0.35">
      <c r="A796" s="2" t="s">
        <v>23</v>
      </c>
      <c r="L796" s="2">
        <v>79</v>
      </c>
      <c r="M796" s="2" t="s">
        <v>103</v>
      </c>
      <c r="O796" s="2" t="s">
        <v>1775</v>
      </c>
      <c r="P796" s="2" t="str">
        <f ca="1">IFERROR(__xludf.DUMMYFUNCTION("GOOGLETRANSLATE(O796,""en"",""bn"")"),"এমডি শামসুর আলী মল্লিক")</f>
        <v>এমডি শামসুর আলী মল্লিক</v>
      </c>
      <c r="Q796" s="2" t="s">
        <v>1047</v>
      </c>
      <c r="S796" s="2" t="s">
        <v>1047</v>
      </c>
      <c r="V796" s="2" t="s">
        <v>1776</v>
      </c>
      <c r="W796" s="2">
        <v>2</v>
      </c>
    </row>
    <row r="797" spans="1:23" ht="15.75" customHeight="1" x14ac:dyDescent="0.35">
      <c r="A797" s="2" t="s">
        <v>23</v>
      </c>
      <c r="L797" s="2">
        <v>137</v>
      </c>
      <c r="M797" s="2" t="s">
        <v>372</v>
      </c>
      <c r="O797" s="2" t="s">
        <v>1777</v>
      </c>
      <c r="P797" s="2" t="str">
        <f ca="1">IFERROR(__xludf.DUMMYFUNCTION("GOOGLETRANSLATE(O797,""en"",""bn"")"),"জয়দীপ গায়েন")</f>
        <v>জয়দীপ গায়েন</v>
      </c>
      <c r="Q797" s="2" t="s">
        <v>1109</v>
      </c>
      <c r="S797" s="2" t="s">
        <v>1109</v>
      </c>
      <c r="V797" s="2" t="s">
        <v>1778</v>
      </c>
      <c r="W797" s="2">
        <v>2</v>
      </c>
    </row>
    <row r="798" spans="1:23" ht="15.75" customHeight="1" x14ac:dyDescent="0.35">
      <c r="A798" s="2" t="s">
        <v>23</v>
      </c>
      <c r="L798" s="2">
        <v>110</v>
      </c>
      <c r="M798" s="2" t="s">
        <v>259</v>
      </c>
      <c r="O798" s="2" t="s">
        <v>1779</v>
      </c>
      <c r="P798" s="2" t="str">
        <f ca="1">IFERROR(__xludf.DUMMYFUNCTION("GOOGLETRANSLATE(O798,""en"",""bn"")"),"রুহুল আমিন সরদার")</f>
        <v>রুহুল আমিন সরদার</v>
      </c>
      <c r="Q798" s="2" t="s">
        <v>1109</v>
      </c>
      <c r="S798" s="2" t="s">
        <v>1109</v>
      </c>
      <c r="V798" s="2" t="s">
        <v>1780</v>
      </c>
      <c r="W798" s="2">
        <v>2</v>
      </c>
    </row>
    <row r="799" spans="1:23" ht="15.75" customHeight="1" x14ac:dyDescent="0.35">
      <c r="A799" s="2" t="s">
        <v>23</v>
      </c>
      <c r="L799" s="2">
        <v>141</v>
      </c>
      <c r="M799" s="2" t="s">
        <v>63</v>
      </c>
      <c r="O799" s="2" t="s">
        <v>1781</v>
      </c>
      <c r="P799" s="2" t="str">
        <f ca="1">IFERROR(__xludf.DUMMYFUNCTION("GOOGLETRANSLATE(O799,""en"",""bn"")"),"সোমনাথ নস্কর")</f>
        <v>সোমনাথ নস্কর</v>
      </c>
      <c r="Q799" s="2" t="s">
        <v>92</v>
      </c>
      <c r="S799" s="2" t="s">
        <v>92</v>
      </c>
      <c r="V799" s="2" t="s">
        <v>1782</v>
      </c>
      <c r="W799" s="2">
        <v>2</v>
      </c>
    </row>
    <row r="800" spans="1:23" ht="15.75" customHeight="1" x14ac:dyDescent="0.35">
      <c r="A800" s="2" t="s">
        <v>23</v>
      </c>
      <c r="L800" s="2">
        <v>94</v>
      </c>
      <c r="M800" s="2" t="s">
        <v>253</v>
      </c>
      <c r="O800" s="2" t="s">
        <v>1783</v>
      </c>
      <c r="P800" s="2" t="str">
        <f ca="1">IFERROR(__xludf.DUMMYFUNCTION("GOOGLETRANSLATE(O800,""en"",""bn"")"),"স্বপন মন্ডল")</f>
        <v>স্বপন মন্ডল</v>
      </c>
      <c r="Q800" s="2" t="s">
        <v>92</v>
      </c>
      <c r="S800" s="2" t="s">
        <v>92</v>
      </c>
      <c r="V800" s="2" t="s">
        <v>1784</v>
      </c>
      <c r="W800" s="2">
        <v>2</v>
      </c>
    </row>
    <row r="801" spans="1:23" ht="15.75" customHeight="1" x14ac:dyDescent="0.35">
      <c r="A801" s="2" t="s">
        <v>23</v>
      </c>
      <c r="L801" s="2">
        <v>177</v>
      </c>
      <c r="M801" s="2" t="s">
        <v>66</v>
      </c>
      <c r="O801" s="2" t="s">
        <v>1785</v>
      </c>
      <c r="P801" s="2" t="str">
        <f ca="1">IFERROR(__xludf.DUMMYFUNCTION("GOOGLETRANSLATE(O801,""en"",""bn"")"),"রিতউইক পলি")</f>
        <v>রিতউইক পলি</v>
      </c>
      <c r="Q801" s="2" t="s">
        <v>1322</v>
      </c>
      <c r="S801" s="2" t="s">
        <v>1322</v>
      </c>
      <c r="V801" s="2" t="s">
        <v>1786</v>
      </c>
      <c r="W801" s="2">
        <v>2</v>
      </c>
    </row>
    <row r="802" spans="1:23" ht="15.75" customHeight="1" x14ac:dyDescent="0.35">
      <c r="A802" s="2" t="s">
        <v>23</v>
      </c>
      <c r="L802" s="2">
        <v>103</v>
      </c>
      <c r="M802" s="2" t="s">
        <v>199</v>
      </c>
      <c r="O802" s="2" t="s">
        <v>1787</v>
      </c>
      <c r="P802" s="2" t="str">
        <f ca="1">IFERROR(__xludf.DUMMYFUNCTION("GOOGLETRANSLATE(O802,""en"",""bn"")"),"মোহিত দুবে")</f>
        <v>মোহিত দুবে</v>
      </c>
      <c r="Q802" s="2" t="s">
        <v>1109</v>
      </c>
      <c r="S802" s="2" t="s">
        <v>1109</v>
      </c>
      <c r="V802" s="2" t="s">
        <v>1788</v>
      </c>
      <c r="W802" s="2">
        <v>2</v>
      </c>
    </row>
    <row r="803" spans="1:23" ht="15.75" customHeight="1" x14ac:dyDescent="0.35">
      <c r="A803" s="2" t="s">
        <v>23</v>
      </c>
      <c r="L803" s="2">
        <v>144</v>
      </c>
      <c r="M803" s="2" t="s">
        <v>178</v>
      </c>
      <c r="O803" s="2" t="s">
        <v>1789</v>
      </c>
      <c r="P803" s="2" t="str">
        <f ca="1">IFERROR(__xludf.DUMMYFUNCTION("GOOGLETRANSLATE(O803,""en"",""bn"")"),"ডিপ হাতি")</f>
        <v>ডিপ হাতি</v>
      </c>
      <c r="Q803" s="2" t="s">
        <v>1322</v>
      </c>
      <c r="S803" s="2" t="s">
        <v>1322</v>
      </c>
      <c r="V803" s="2" t="s">
        <v>1790</v>
      </c>
      <c r="W803" s="2">
        <v>2</v>
      </c>
    </row>
    <row r="804" spans="1:23" ht="15.75" customHeight="1" x14ac:dyDescent="0.35">
      <c r="A804" s="2" t="s">
        <v>23</v>
      </c>
      <c r="L804" s="2">
        <v>194</v>
      </c>
      <c r="M804" s="2" t="s">
        <v>205</v>
      </c>
      <c r="O804" s="2" t="s">
        <v>1791</v>
      </c>
      <c r="P804" s="2" t="str">
        <f ca="1">IFERROR(__xludf.DUMMYFUNCTION("GOOGLETRANSLATE(O804,""en"",""bn"")"),"দেবাশিস মুখার্জি")</f>
        <v>দেবাশিস মুখার্জি</v>
      </c>
      <c r="Q804" s="2" t="s">
        <v>1322</v>
      </c>
      <c r="S804" s="2" t="s">
        <v>1322</v>
      </c>
      <c r="V804" s="2" t="s">
        <v>1792</v>
      </c>
      <c r="W804" s="2">
        <v>2</v>
      </c>
    </row>
    <row r="805" spans="1:23" ht="15.75" customHeight="1" x14ac:dyDescent="0.35">
      <c r="A805" s="2" t="s">
        <v>23</v>
      </c>
      <c r="L805" s="2">
        <v>133</v>
      </c>
      <c r="M805" s="2" t="s">
        <v>384</v>
      </c>
      <c r="O805" s="2" t="s">
        <v>1793</v>
      </c>
      <c r="P805" s="2" t="str">
        <f ca="1">IFERROR(__xludf.DUMMYFUNCTION("GOOGLETRANSLATE(O805,""en"",""bn"")"),"যমুনা তান্তি")</f>
        <v>যমুনা তান্তি</v>
      </c>
      <c r="Q805" s="2" t="s">
        <v>92</v>
      </c>
      <c r="S805" s="2" t="s">
        <v>92</v>
      </c>
      <c r="V805" s="2" t="s">
        <v>1794</v>
      </c>
      <c r="W805" s="2">
        <v>2</v>
      </c>
    </row>
    <row r="806" spans="1:23" ht="15.75" customHeight="1" x14ac:dyDescent="0.35">
      <c r="A806" s="2" t="s">
        <v>23</v>
      </c>
      <c r="L806" s="2">
        <v>264</v>
      </c>
      <c r="M806" s="2" t="s">
        <v>393</v>
      </c>
      <c r="O806" s="2" t="s">
        <v>1795</v>
      </c>
      <c r="P806" s="2" t="str">
        <f ca="1">IFERROR(__xludf.DUMMYFUNCTION("GOOGLETRANSLATE(O806,""en"",""bn"")"),"অনয় সাহা")</f>
        <v>অনয় সাহা</v>
      </c>
      <c r="Q806" s="2" t="s">
        <v>1322</v>
      </c>
      <c r="S806" s="2" t="s">
        <v>1322</v>
      </c>
      <c r="V806" s="2" t="s">
        <v>1796</v>
      </c>
      <c r="W806" s="2">
        <v>2</v>
      </c>
    </row>
    <row r="807" spans="1:23" ht="15.75" customHeight="1" x14ac:dyDescent="0.35">
      <c r="A807" s="2" t="s">
        <v>23</v>
      </c>
      <c r="L807" s="2">
        <v>147</v>
      </c>
      <c r="M807" s="2" t="s">
        <v>265</v>
      </c>
      <c r="O807" s="2" t="s">
        <v>1797</v>
      </c>
      <c r="P807" s="2" t="str">
        <f ca="1">IFERROR(__xludf.DUMMYFUNCTION("GOOGLETRANSLATE(O807,""en"",""bn"")"),"পারমিতা দাসগুপ্তা")</f>
        <v>পারমিতা দাসগুপ্তা</v>
      </c>
      <c r="Q807" s="2" t="s">
        <v>1218</v>
      </c>
      <c r="S807" s="2" t="s">
        <v>1218</v>
      </c>
      <c r="V807" s="2" t="s">
        <v>1798</v>
      </c>
      <c r="W807" s="2">
        <v>2</v>
      </c>
    </row>
    <row r="808" spans="1:23" ht="15.75" customHeight="1" x14ac:dyDescent="0.35">
      <c r="A808" s="2" t="s">
        <v>23</v>
      </c>
      <c r="L808" s="2">
        <v>121</v>
      </c>
      <c r="M808" s="2" t="s">
        <v>348</v>
      </c>
      <c r="O808" s="2" t="s">
        <v>1799</v>
      </c>
      <c r="P808" s="2" t="str">
        <f ca="1">IFERROR(__xludf.DUMMYFUNCTION("GOOGLETRANSLATE(O808,""en"",""bn"")"),"মো. আব্দুল্লাহিল মারুক")</f>
        <v>মো. আব্দুল্লাহিল মারুক</v>
      </c>
      <c r="Q808" s="2" t="s">
        <v>1322</v>
      </c>
      <c r="S808" s="2" t="s">
        <v>1322</v>
      </c>
      <c r="V808" s="2" t="s">
        <v>1800</v>
      </c>
      <c r="W808" s="2">
        <v>2</v>
      </c>
    </row>
    <row r="809" spans="1:23" ht="15.75" customHeight="1" x14ac:dyDescent="0.35">
      <c r="A809" s="2" t="s">
        <v>23</v>
      </c>
      <c r="L809" s="2">
        <v>140</v>
      </c>
      <c r="M809" s="2" t="s">
        <v>429</v>
      </c>
      <c r="O809" s="2" t="s">
        <v>1801</v>
      </c>
      <c r="P809" s="2" t="str">
        <f ca="1">IFERROR(__xludf.DUMMYFUNCTION("GOOGLETRANSLATE(O809,""en"",""bn"")"),"প্রদ্যুৎ চক্রবর্তী")</f>
        <v>প্রদ্যুৎ চক্রবর্তী</v>
      </c>
      <c r="Q809" s="2" t="s">
        <v>92</v>
      </c>
      <c r="S809" s="2" t="s">
        <v>92</v>
      </c>
      <c r="V809" s="2" t="s">
        <v>1802</v>
      </c>
      <c r="W809" s="2">
        <v>2</v>
      </c>
    </row>
    <row r="810" spans="1:23" ht="15.75" customHeight="1" x14ac:dyDescent="0.35">
      <c r="A810" s="2" t="s">
        <v>23</v>
      </c>
      <c r="L810" s="2">
        <v>91</v>
      </c>
      <c r="M810" s="2" t="s">
        <v>211</v>
      </c>
      <c r="O810" s="2" t="s">
        <v>1803</v>
      </c>
      <c r="P810" s="2" t="str">
        <f ca="1">IFERROR(__xludf.DUMMYFUNCTION("GOOGLETRANSLATE(O810,""en"",""bn"")"),"গোপাল চন্দ্র সিল")</f>
        <v>গোপাল চন্দ্র সিল</v>
      </c>
      <c r="Q810" s="2" t="s">
        <v>1677</v>
      </c>
      <c r="S810" s="2" t="s">
        <v>1677</v>
      </c>
      <c r="V810" s="2" t="s">
        <v>1804</v>
      </c>
      <c r="W810" s="2">
        <v>2</v>
      </c>
    </row>
    <row r="811" spans="1:23" ht="15.75" customHeight="1" x14ac:dyDescent="0.35">
      <c r="A811" s="2" t="s">
        <v>23</v>
      </c>
      <c r="L811" s="2">
        <v>126</v>
      </c>
      <c r="M811" s="2" t="s">
        <v>133</v>
      </c>
      <c r="O811" s="2" t="s">
        <v>1805</v>
      </c>
      <c r="P811" s="2" t="str">
        <f ca="1">IFERROR(__xludf.DUMMYFUNCTION("GOOGLETRANSLATE(O811,""en"",""bn"")"),"পুলাকেশ মন্ডল")</f>
        <v>পুলাকেশ মন্ডল</v>
      </c>
      <c r="Q811" s="2" t="s">
        <v>1322</v>
      </c>
      <c r="S811" s="2" t="s">
        <v>1322</v>
      </c>
      <c r="V811" s="2" t="s">
        <v>1806</v>
      </c>
      <c r="W811" s="2">
        <v>2</v>
      </c>
    </row>
    <row r="812" spans="1:23" ht="15.75" customHeight="1" x14ac:dyDescent="0.35">
      <c r="A812" s="2" t="s">
        <v>23</v>
      </c>
      <c r="L812" s="2">
        <v>179</v>
      </c>
      <c r="M812" s="2" t="s">
        <v>435</v>
      </c>
      <c r="O812" s="2" t="s">
        <v>1807</v>
      </c>
      <c r="P812" s="2" t="str">
        <f ca="1">IFERROR(__xludf.DUMMYFUNCTION("GOOGLETRANSLATE(O812,""en"",""bn"")"),"এসকে নূর আমিন")</f>
        <v>এসকে নূর আমিন</v>
      </c>
      <c r="Q812" s="2" t="s">
        <v>1109</v>
      </c>
      <c r="S812" s="2" t="s">
        <v>1109</v>
      </c>
      <c r="V812" s="2" t="s">
        <v>1808</v>
      </c>
      <c r="W812" s="2">
        <v>2</v>
      </c>
    </row>
    <row r="813" spans="1:23" ht="15.75" customHeight="1" x14ac:dyDescent="0.35">
      <c r="A813" s="2" t="s">
        <v>23</v>
      </c>
      <c r="L813" s="2">
        <v>146</v>
      </c>
      <c r="M813" s="2" t="s">
        <v>75</v>
      </c>
      <c r="O813" s="2" t="s">
        <v>1809</v>
      </c>
      <c r="P813" s="2" t="str">
        <f ca="1">IFERROR(__xludf.DUMMYFUNCTION("GOOGLETRANSLATE(O813,""en"",""bn"")"),"উত্তম নস্কর")</f>
        <v>উত্তম নস্কর</v>
      </c>
      <c r="Q813" s="2" t="s">
        <v>1322</v>
      </c>
      <c r="S813" s="2" t="s">
        <v>1322</v>
      </c>
      <c r="V813" s="2" t="s">
        <v>1810</v>
      </c>
      <c r="W813" s="2">
        <v>2</v>
      </c>
    </row>
    <row r="814" spans="1:23" ht="15.75" customHeight="1" x14ac:dyDescent="0.35">
      <c r="A814" s="2" t="s">
        <v>23</v>
      </c>
      <c r="L814" s="2">
        <v>188</v>
      </c>
      <c r="M814" s="2" t="s">
        <v>106</v>
      </c>
      <c r="O814" s="2" t="s">
        <v>1811</v>
      </c>
      <c r="P814" s="2" t="str">
        <f ca="1">IFERROR(__xludf.DUMMYFUNCTION("GOOGLETRANSLATE(O814,""en"",""bn"")"),"কাশিনাথ শ")</f>
        <v>কাশিনাথ শ</v>
      </c>
      <c r="Q814" s="2" t="s">
        <v>1109</v>
      </c>
      <c r="S814" s="2" t="s">
        <v>1109</v>
      </c>
      <c r="V814" s="2" t="s">
        <v>1812</v>
      </c>
      <c r="W814" s="2">
        <v>2</v>
      </c>
    </row>
    <row r="815" spans="1:23" ht="15.75" customHeight="1" x14ac:dyDescent="0.35">
      <c r="A815" s="2" t="s">
        <v>23</v>
      </c>
      <c r="L815" s="2">
        <v>106</v>
      </c>
      <c r="M815" s="2" t="s">
        <v>283</v>
      </c>
      <c r="O815" s="2" t="s">
        <v>1813</v>
      </c>
      <c r="P815" s="2" t="str">
        <f ca="1">IFERROR(__xludf.DUMMYFUNCTION("GOOGLETRANSLATE(O815,""en"",""bn"")"),"প্রণব চৌধুরী")</f>
        <v>প্রণব চৌধুরী</v>
      </c>
      <c r="Q815" s="2" t="s">
        <v>92</v>
      </c>
      <c r="S815" s="2" t="s">
        <v>92</v>
      </c>
      <c r="V815" s="2" t="s">
        <v>1814</v>
      </c>
      <c r="W815" s="2">
        <v>2</v>
      </c>
    </row>
    <row r="816" spans="1:23" ht="15.75" customHeight="1" x14ac:dyDescent="0.35">
      <c r="A816" s="2" t="s">
        <v>23</v>
      </c>
      <c r="L816" s="2">
        <v>80</v>
      </c>
      <c r="M816" s="2" t="s">
        <v>175</v>
      </c>
      <c r="O816" s="2" t="s">
        <v>1815</v>
      </c>
      <c r="P816" s="2" t="str">
        <f ca="1">IFERROR(__xludf.DUMMYFUNCTION("GOOGLETRANSLATE(O816,""en"",""bn"")"),"আরিখ আখের")</f>
        <v>আরিখ আখের</v>
      </c>
      <c r="Q816" s="2" t="s">
        <v>1816</v>
      </c>
      <c r="S816" s="2" t="s">
        <v>1816</v>
      </c>
      <c r="V816" s="2" t="s">
        <v>1817</v>
      </c>
      <c r="W816" s="2">
        <v>2</v>
      </c>
    </row>
    <row r="817" spans="1:23" ht="15.75" customHeight="1" x14ac:dyDescent="0.35">
      <c r="A817" s="2" t="s">
        <v>23</v>
      </c>
      <c r="L817" s="2">
        <v>95</v>
      </c>
      <c r="M817" s="2" t="s">
        <v>142</v>
      </c>
      <c r="O817" s="2" t="s">
        <v>1818</v>
      </c>
      <c r="P817" s="2" t="str">
        <f ca="1">IFERROR(__xludf.DUMMYFUNCTION("GOOGLETRANSLATE(O817,""en"",""bn"")"),"আনন্দ বিশ্বাস")</f>
        <v>আনন্দ বিশ্বাস</v>
      </c>
      <c r="Q817" s="2" t="s">
        <v>1375</v>
      </c>
      <c r="S817" s="2" t="s">
        <v>1375</v>
      </c>
      <c r="V817" s="2" t="s">
        <v>1819</v>
      </c>
      <c r="W817" s="2">
        <v>2</v>
      </c>
    </row>
    <row r="818" spans="1:23" ht="15.75" customHeight="1" x14ac:dyDescent="0.35">
      <c r="A818" s="2" t="s">
        <v>23</v>
      </c>
      <c r="L818" s="2">
        <v>154</v>
      </c>
      <c r="M818" s="2" t="s">
        <v>136</v>
      </c>
      <c r="O818" s="2" t="s">
        <v>1820</v>
      </c>
      <c r="P818" s="2" t="str">
        <f ca="1">IFERROR(__xludf.DUMMYFUNCTION("GOOGLETRANSLATE(O818,""en"",""bn"")"),"সঞ্জয় বিশ্বাস")</f>
        <v>সঞ্জয় বিশ্বাস</v>
      </c>
      <c r="Q818" s="2" t="s">
        <v>92</v>
      </c>
      <c r="S818" s="2" t="s">
        <v>92</v>
      </c>
      <c r="V818" s="2" t="s">
        <v>1821</v>
      </c>
      <c r="W818" s="2">
        <v>2</v>
      </c>
    </row>
    <row r="819" spans="1:23" ht="15.75" customHeight="1" x14ac:dyDescent="0.35">
      <c r="A819" s="2" t="s">
        <v>23</v>
      </c>
      <c r="L819" s="2">
        <v>102</v>
      </c>
      <c r="M819" s="2" t="s">
        <v>169</v>
      </c>
      <c r="O819" s="2" t="s">
        <v>1822</v>
      </c>
      <c r="P819" s="2" t="str">
        <f ca="1">IFERROR(__xludf.DUMMYFUNCTION("GOOGLETRANSLATE(O819,""en"",""bn"")"),"কামাল উদ্দিন")</f>
        <v>কামাল উদ্দিন</v>
      </c>
      <c r="Q819" s="2" t="s">
        <v>92</v>
      </c>
      <c r="S819" s="2" t="s">
        <v>92</v>
      </c>
      <c r="V819" s="2" t="s">
        <v>1823</v>
      </c>
      <c r="W819" s="2">
        <v>2</v>
      </c>
    </row>
    <row r="820" spans="1:23" ht="15.75" customHeight="1" x14ac:dyDescent="0.35">
      <c r="A820" s="2" t="s">
        <v>23</v>
      </c>
      <c r="L820" s="2">
        <v>111</v>
      </c>
      <c r="M820" s="2" t="s">
        <v>369</v>
      </c>
      <c r="O820" s="2" t="s">
        <v>1824</v>
      </c>
      <c r="P820" s="2" t="str">
        <f ca="1">IFERROR(__xludf.DUMMYFUNCTION("GOOGLETRANSLATE(O820,""en"",""bn"")"),"আফসানা খাতুন")</f>
        <v>আফসানা খাতুন</v>
      </c>
      <c r="Q820" s="2" t="s">
        <v>1109</v>
      </c>
      <c r="S820" s="2" t="s">
        <v>1109</v>
      </c>
      <c r="V820" s="2" t="s">
        <v>1825</v>
      </c>
      <c r="W820" s="2">
        <v>2</v>
      </c>
    </row>
    <row r="821" spans="1:23" ht="15.75" customHeight="1" x14ac:dyDescent="0.35">
      <c r="A821" s="2" t="s">
        <v>23</v>
      </c>
      <c r="L821" s="2">
        <v>113</v>
      </c>
      <c r="M821" s="2" t="s">
        <v>399</v>
      </c>
      <c r="O821" s="2" t="s">
        <v>1826</v>
      </c>
      <c r="P821" s="2" t="str">
        <f ca="1">IFERROR(__xludf.DUMMYFUNCTION("GOOGLETRANSLATE(O821,""en"",""bn"")"),"দুলাল কান্তি ভট্টাচার্য")</f>
        <v>দুলাল কান্তি ভট্টাচার্য</v>
      </c>
      <c r="Q821" s="2" t="s">
        <v>1322</v>
      </c>
      <c r="S821" s="2" t="s">
        <v>1322</v>
      </c>
      <c r="V821" s="2" t="s">
        <v>1827</v>
      </c>
      <c r="W821" s="2">
        <v>2</v>
      </c>
    </row>
    <row r="822" spans="1:23" ht="15.75" customHeight="1" x14ac:dyDescent="0.35">
      <c r="A822" s="2" t="s">
        <v>23</v>
      </c>
      <c r="L822" s="2">
        <v>199</v>
      </c>
      <c r="M822" s="2" t="s">
        <v>244</v>
      </c>
      <c r="O822" s="2" t="s">
        <v>1828</v>
      </c>
      <c r="P822" s="2" t="str">
        <f ca="1">IFERROR(__xludf.DUMMYFUNCTION("GOOGLETRANSLATE(O822,""en"",""bn"")"),"এসকে সাকিল আলী")</f>
        <v>এসকে সাকিল আলী</v>
      </c>
      <c r="Q822" s="2" t="s">
        <v>1109</v>
      </c>
      <c r="S822" s="2" t="s">
        <v>1109</v>
      </c>
      <c r="V822" s="2" t="s">
        <v>1829</v>
      </c>
      <c r="W822" s="2">
        <v>2</v>
      </c>
    </row>
    <row r="823" spans="1:23" ht="15.75" customHeight="1" x14ac:dyDescent="0.35">
      <c r="A823" s="2" t="s">
        <v>23</v>
      </c>
      <c r="L823" s="2">
        <v>260</v>
      </c>
      <c r="M823" s="2" t="s">
        <v>292</v>
      </c>
      <c r="O823" s="2" t="s">
        <v>1830</v>
      </c>
      <c r="P823" s="2" t="str">
        <f ca="1">IFERROR(__xludf.DUMMYFUNCTION("GOOGLETRANSLATE(O823,""en"",""bn"")"),"উৎপল দত্ত")</f>
        <v>উৎপল দত্ত</v>
      </c>
      <c r="Q823" s="2" t="s">
        <v>92</v>
      </c>
      <c r="S823" s="2" t="s">
        <v>92</v>
      </c>
      <c r="V823" s="2" t="s">
        <v>1831</v>
      </c>
      <c r="W823" s="2">
        <v>2</v>
      </c>
    </row>
    <row r="824" spans="1:23" ht="15.75" customHeight="1" x14ac:dyDescent="0.35">
      <c r="A824" s="2" t="s">
        <v>23</v>
      </c>
      <c r="L824" s="2">
        <v>193</v>
      </c>
      <c r="M824" s="2" t="s">
        <v>118</v>
      </c>
      <c r="O824" s="2" t="s">
        <v>1832</v>
      </c>
      <c r="P824" s="2" t="str">
        <f ca="1">IFERROR(__xludf.DUMMYFUNCTION("GOOGLETRANSLATE(O824,""en"",""bn"")"),"এস.কে আখতার")</f>
        <v>এস.কে আখতার</v>
      </c>
      <c r="Q824" s="2" t="s">
        <v>1833</v>
      </c>
      <c r="S824" s="2" t="s">
        <v>1833</v>
      </c>
      <c r="V824" s="2" t="s">
        <v>1834</v>
      </c>
      <c r="W824" s="2">
        <v>2</v>
      </c>
    </row>
    <row r="825" spans="1:23" ht="15.75" customHeight="1" x14ac:dyDescent="0.35">
      <c r="A825" s="2" t="s">
        <v>23</v>
      </c>
      <c r="L825" s="2">
        <v>272</v>
      </c>
      <c r="M825" s="2" t="s">
        <v>357</v>
      </c>
      <c r="O825" s="2" t="s">
        <v>1835</v>
      </c>
      <c r="P825" s="2" t="str">
        <f ca="1">IFERROR(__xludf.DUMMYFUNCTION("GOOGLETRANSLATE(O825,""en"",""bn"")"),"মন্ডল আজিজুল")</f>
        <v>মন্ডল আজিজুল</v>
      </c>
      <c r="Q825" s="2" t="s">
        <v>1109</v>
      </c>
      <c r="S825" s="2" t="s">
        <v>1109</v>
      </c>
      <c r="V825" s="2" t="s">
        <v>1836</v>
      </c>
      <c r="W825" s="2">
        <v>2</v>
      </c>
    </row>
    <row r="826" spans="1:23" ht="15.75" customHeight="1" x14ac:dyDescent="0.35">
      <c r="A826" s="2" t="s">
        <v>23</v>
      </c>
      <c r="L826" s="2">
        <v>190</v>
      </c>
      <c r="M826" s="2" t="s">
        <v>300</v>
      </c>
      <c r="O826" s="2" t="s">
        <v>1837</v>
      </c>
      <c r="P826" s="2" t="str">
        <f ca="1">IFERROR(__xludf.DUMMYFUNCTION("GOOGLETRANSLATE(O826,""en"",""bn"")"),"অজন্তা সরকার")</f>
        <v>অজন্তা সরকার</v>
      </c>
      <c r="Q826" s="2" t="s">
        <v>1838</v>
      </c>
      <c r="S826" s="2" t="s">
        <v>1838</v>
      </c>
      <c r="V826" s="2" t="s">
        <v>1839</v>
      </c>
      <c r="W826" s="2">
        <v>2</v>
      </c>
    </row>
    <row r="827" spans="1:23" ht="15.75" customHeight="1" x14ac:dyDescent="0.35">
      <c r="A827" s="2" t="s">
        <v>23</v>
      </c>
      <c r="L827" s="2">
        <v>98</v>
      </c>
      <c r="M827" s="2" t="s">
        <v>115</v>
      </c>
      <c r="O827" s="2" t="s">
        <v>1840</v>
      </c>
      <c r="P827" s="2" t="str">
        <f ca="1">IFERROR(__xludf.DUMMYFUNCTION("GOOGLETRANSLATE(O827,""en"",""bn"")"),"তারক চন্দ্র সরকার")</f>
        <v>তারক চন্দ্র সরকার</v>
      </c>
      <c r="Q827" s="2" t="s">
        <v>1322</v>
      </c>
      <c r="S827" s="2" t="s">
        <v>1322</v>
      </c>
      <c r="V827" s="2" t="s">
        <v>1841</v>
      </c>
      <c r="W827" s="2">
        <v>2</v>
      </c>
    </row>
    <row r="828" spans="1:23" ht="15.75" customHeight="1" x14ac:dyDescent="0.35">
      <c r="A828" s="2" t="s">
        <v>23</v>
      </c>
      <c r="L828" s="2">
        <v>83</v>
      </c>
      <c r="M828" s="2" t="s">
        <v>354</v>
      </c>
      <c r="O828" s="2" t="s">
        <v>1842</v>
      </c>
      <c r="P828" s="2" t="str">
        <f ca="1">IFERROR(__xludf.DUMMYFUNCTION("GOOGLETRANSLATE(O828,""en"",""bn"")"),"জয়দীপ চৌধুরী")</f>
        <v>জয়দীপ চৌধুরী</v>
      </c>
      <c r="Q828" s="2" t="s">
        <v>92</v>
      </c>
      <c r="S828" s="2" t="s">
        <v>92</v>
      </c>
      <c r="V828" s="2" t="s">
        <v>1843</v>
      </c>
      <c r="W828" s="2">
        <v>2</v>
      </c>
    </row>
    <row r="829" spans="1:23" ht="15.75" customHeight="1" x14ac:dyDescent="0.35">
      <c r="A829" s="2" t="s">
        <v>23</v>
      </c>
      <c r="L829" s="2">
        <v>180</v>
      </c>
      <c r="M829" s="2" t="s">
        <v>324</v>
      </c>
      <c r="O829" s="2" t="s">
        <v>1844</v>
      </c>
      <c r="P829" s="2" t="str">
        <f ca="1">IFERROR(__xludf.DUMMYFUNCTION("GOOGLETRANSLATE(O829,""en"",""bn"")"),"শরিফুল খান")</f>
        <v>শরিফুল খান</v>
      </c>
      <c r="Q829" s="2" t="s">
        <v>1109</v>
      </c>
      <c r="S829" s="2" t="s">
        <v>1109</v>
      </c>
      <c r="V829" s="2" t="s">
        <v>1845</v>
      </c>
      <c r="W829" s="2">
        <v>2</v>
      </c>
    </row>
    <row r="830" spans="1:23" ht="15.75" customHeight="1" x14ac:dyDescent="0.35">
      <c r="A830" s="2" t="s">
        <v>23</v>
      </c>
      <c r="L830" s="2">
        <v>131</v>
      </c>
      <c r="M830" s="2" t="s">
        <v>130</v>
      </c>
      <c r="O830" s="2" t="s">
        <v>1846</v>
      </c>
      <c r="P830" s="2" t="str">
        <f ca="1">IFERROR(__xludf.DUMMYFUNCTION("GOOGLETRANSLATE(O830,""en"",""bn"")"),"ঝান্টু মৈতি")</f>
        <v>ঝান্টু মৈতি</v>
      </c>
      <c r="Q830" s="2" t="s">
        <v>92</v>
      </c>
      <c r="S830" s="2" t="s">
        <v>92</v>
      </c>
      <c r="V830" s="2" t="s">
        <v>1847</v>
      </c>
      <c r="W830" s="2">
        <v>2</v>
      </c>
    </row>
    <row r="831" spans="1:23" ht="15.75" customHeight="1" x14ac:dyDescent="0.35">
      <c r="A831" s="2" t="s">
        <v>23</v>
      </c>
      <c r="L831" s="2">
        <v>166</v>
      </c>
      <c r="M831" s="2" t="s">
        <v>247</v>
      </c>
      <c r="O831" s="2" t="s">
        <v>1848</v>
      </c>
      <c r="P831" s="2" t="str">
        <f ca="1">IFERROR(__xludf.DUMMYFUNCTION("GOOGLETRANSLATE(O831,""en"",""bn"")"),"অনিতা জয়সওয়াল")</f>
        <v>অনিতা জয়সওয়াল</v>
      </c>
      <c r="Q831" s="2" t="s">
        <v>1322</v>
      </c>
      <c r="S831" s="2" t="s">
        <v>1322</v>
      </c>
      <c r="V831" s="2" t="s">
        <v>1849</v>
      </c>
      <c r="W831" s="2">
        <v>2</v>
      </c>
    </row>
    <row r="832" spans="1:23" ht="15.75" customHeight="1" x14ac:dyDescent="0.35">
      <c r="A832" s="2" t="s">
        <v>23</v>
      </c>
      <c r="L832" s="2">
        <v>149</v>
      </c>
      <c r="M832" s="2" t="s">
        <v>51</v>
      </c>
      <c r="O832" s="2" t="s">
        <v>1850</v>
      </c>
      <c r="P832" s="2" t="str">
        <f ca="1">IFERROR(__xludf.DUMMYFUNCTION("GOOGLETRANSLATE(O832,""en"",""bn"")"),"শম্পা সরকার")</f>
        <v>শম্পা সরকার</v>
      </c>
      <c r="Q832" s="2" t="s">
        <v>92</v>
      </c>
      <c r="S832" s="2" t="s">
        <v>92</v>
      </c>
      <c r="V832" s="2" t="s">
        <v>1851</v>
      </c>
      <c r="W832" s="2">
        <v>2</v>
      </c>
    </row>
    <row r="833" spans="1:23" ht="15.75" customHeight="1" x14ac:dyDescent="0.35">
      <c r="A833" s="2" t="s">
        <v>23</v>
      </c>
      <c r="L833" s="2">
        <v>104</v>
      </c>
      <c r="M833" s="2" t="s">
        <v>396</v>
      </c>
      <c r="O833" s="2" t="s">
        <v>1852</v>
      </c>
      <c r="P833" s="2" t="str">
        <f ca="1">IFERROR(__xludf.DUMMYFUNCTION("GOOGLETRANSLATE(O833,""en"",""bn"")"),"সঞ্জয় রায়")</f>
        <v>সঞ্জয় রায়</v>
      </c>
      <c r="Q833" s="2" t="s">
        <v>92</v>
      </c>
      <c r="S833" s="2" t="s">
        <v>92</v>
      </c>
      <c r="V833" s="2" t="s">
        <v>1853</v>
      </c>
      <c r="W833" s="2">
        <v>2</v>
      </c>
    </row>
    <row r="834" spans="1:23" ht="15.75" customHeight="1" x14ac:dyDescent="0.35">
      <c r="A834" s="2" t="s">
        <v>23</v>
      </c>
      <c r="L834" s="2">
        <v>85</v>
      </c>
      <c r="M834" s="2" t="s">
        <v>387</v>
      </c>
      <c r="O834" s="2" t="s">
        <v>1854</v>
      </c>
      <c r="P834" s="2" t="str">
        <f ca="1">IFERROR(__xludf.DUMMYFUNCTION("GOOGLETRANSLATE(O834,""en"",""bn"")"),"লাবানি জাঙ্গি")</f>
        <v>লাবানি জাঙ্গি</v>
      </c>
      <c r="Q834" s="2" t="s">
        <v>1038</v>
      </c>
      <c r="S834" s="2" t="s">
        <v>1038</v>
      </c>
      <c r="V834" s="2" t="s">
        <v>1855</v>
      </c>
      <c r="W834" s="2">
        <v>2</v>
      </c>
    </row>
    <row r="835" spans="1:23" ht="15.75" customHeight="1" x14ac:dyDescent="0.35">
      <c r="A835" s="2" t="s">
        <v>23</v>
      </c>
      <c r="L835" s="2">
        <v>171</v>
      </c>
      <c r="M835" s="2" t="s">
        <v>87</v>
      </c>
      <c r="O835" s="2" t="s">
        <v>1856</v>
      </c>
      <c r="P835" s="2" t="str">
        <f ca="1">IFERROR(__xludf.DUMMYFUNCTION("GOOGLETRANSLATE(O835,""en"",""bn"")"),"আসিফ হুসাইন")</f>
        <v>আসিফ হুসাইন</v>
      </c>
      <c r="Q835" s="2" t="s">
        <v>1109</v>
      </c>
      <c r="S835" s="2" t="s">
        <v>1109</v>
      </c>
      <c r="V835" s="2" t="s">
        <v>1857</v>
      </c>
      <c r="W835" s="2">
        <v>2</v>
      </c>
    </row>
    <row r="836" spans="1:23" ht="15.75" customHeight="1" x14ac:dyDescent="0.35">
      <c r="A836" s="2" t="s">
        <v>23</v>
      </c>
      <c r="L836" s="2">
        <v>168</v>
      </c>
      <c r="M836" s="2" t="s">
        <v>100</v>
      </c>
      <c r="O836" s="2" t="s">
        <v>1858</v>
      </c>
      <c r="P836" s="2" t="str">
        <f ca="1">IFERROR(__xludf.DUMMYFUNCTION("GOOGLETRANSLATE(O836,""en"",""bn"")"),"হর্ষ গুপ্ত")</f>
        <v>হর্ষ গুপ্ত</v>
      </c>
      <c r="Q836" s="2" t="s">
        <v>1313</v>
      </c>
      <c r="S836" s="2" t="s">
        <v>1313</v>
      </c>
      <c r="V836" s="2" t="s">
        <v>1859</v>
      </c>
      <c r="W836" s="2">
        <v>2</v>
      </c>
    </row>
    <row r="837" spans="1:23" ht="15.75" customHeight="1" x14ac:dyDescent="0.35">
      <c r="A837" s="2" t="s">
        <v>23</v>
      </c>
      <c r="L837" s="2">
        <v>161</v>
      </c>
      <c r="M837" s="2" t="s">
        <v>112</v>
      </c>
      <c r="O837" s="2" t="s">
        <v>1860</v>
      </c>
      <c r="P837" s="2" t="s">
        <v>3055</v>
      </c>
      <c r="Q837" s="2" t="s">
        <v>92</v>
      </c>
      <c r="S837" s="2" t="s">
        <v>92</v>
      </c>
      <c r="V837" s="2" t="s">
        <v>1861</v>
      </c>
      <c r="W837" s="2">
        <v>2</v>
      </c>
    </row>
    <row r="838" spans="1:23" ht="15.75" customHeight="1" x14ac:dyDescent="0.35">
      <c r="A838" s="2" t="s">
        <v>23</v>
      </c>
      <c r="L838" s="2">
        <v>129</v>
      </c>
      <c r="M838" s="2" t="s">
        <v>24</v>
      </c>
      <c r="O838" s="2" t="s">
        <v>1862</v>
      </c>
      <c r="P838" s="2" t="str">
        <f ca="1">IFERROR(__xludf.DUMMYFUNCTION("GOOGLETRANSLATE(O838,""en"",""bn"")"),"ভূতনাথ সর্দার")</f>
        <v>ভূতনাথ সর্দার</v>
      </c>
      <c r="Q838" s="2" t="s">
        <v>1863</v>
      </c>
      <c r="S838" s="2" t="s">
        <v>1863</v>
      </c>
      <c r="V838" s="2" t="s">
        <v>1864</v>
      </c>
      <c r="W838" s="2">
        <v>2</v>
      </c>
    </row>
    <row r="839" spans="1:23" ht="15.75" customHeight="1" x14ac:dyDescent="0.35">
      <c r="A839" s="2" t="s">
        <v>23</v>
      </c>
      <c r="L839" s="2">
        <v>127</v>
      </c>
      <c r="M839" s="2" t="s">
        <v>289</v>
      </c>
      <c r="O839" s="2" t="s">
        <v>1865</v>
      </c>
      <c r="P839" s="2" t="str">
        <f ca="1">IFERROR(__xludf.DUMMYFUNCTION("GOOGLETRANSLATE(O839,""en"",""bn"")"),"হরিপদ মণ্ডল")</f>
        <v>হরিপদ মণ্ডল</v>
      </c>
      <c r="Q839" s="2" t="s">
        <v>92</v>
      </c>
      <c r="S839" s="2" t="s">
        <v>92</v>
      </c>
      <c r="V839" s="2" t="s">
        <v>1866</v>
      </c>
      <c r="W839" s="2">
        <v>2</v>
      </c>
    </row>
    <row r="840" spans="1:23" ht="15.75" customHeight="1" x14ac:dyDescent="0.35">
      <c r="A840" s="2" t="s">
        <v>23</v>
      </c>
      <c r="L840" s="2">
        <v>100</v>
      </c>
      <c r="M840" s="2" t="s">
        <v>69</v>
      </c>
      <c r="O840" s="2" t="s">
        <v>1867</v>
      </c>
      <c r="P840" s="2" t="str">
        <f ca="1">IFERROR(__xludf.DUMMYFUNCTION("GOOGLETRANSLATE(O840,""en"",""bn"")"),"অশিক রাজ মন্ডল")</f>
        <v>অশিক রাজ মন্ডল</v>
      </c>
      <c r="Q840" s="2" t="s">
        <v>1868</v>
      </c>
      <c r="S840" s="2" t="s">
        <v>1868</v>
      </c>
      <c r="V840" s="2" t="s">
        <v>1869</v>
      </c>
      <c r="W840" s="2">
        <v>2</v>
      </c>
    </row>
    <row r="841" spans="1:23" ht="15.75" customHeight="1" x14ac:dyDescent="0.35">
      <c r="A841" s="2" t="s">
        <v>23</v>
      </c>
      <c r="L841" s="2">
        <v>101</v>
      </c>
      <c r="M841" s="2" t="s">
        <v>154</v>
      </c>
      <c r="O841" s="2" t="s">
        <v>1870</v>
      </c>
      <c r="P841" s="2" t="str">
        <f ca="1">IFERROR(__xludf.DUMMYFUNCTION("GOOGLETRANSLATE(O841,""en"",""bn"")"),"তারক দাস")</f>
        <v>তারক দাস</v>
      </c>
      <c r="Q841" s="2" t="s">
        <v>92</v>
      </c>
      <c r="S841" s="2" t="s">
        <v>92</v>
      </c>
      <c r="V841" s="2" t="s">
        <v>1871</v>
      </c>
      <c r="W841" s="2">
        <v>2</v>
      </c>
    </row>
    <row r="842" spans="1:23" ht="15.75" customHeight="1" x14ac:dyDescent="0.35">
      <c r="A842" s="2" t="s">
        <v>23</v>
      </c>
      <c r="L842" s="2">
        <v>78</v>
      </c>
      <c r="M842" s="2" t="s">
        <v>47</v>
      </c>
      <c r="O842" s="2" t="s">
        <v>1872</v>
      </c>
      <c r="P842" s="2" t="str">
        <f ca="1">IFERROR(__xludf.DUMMYFUNCTION("GOOGLETRANSLATE(O842,""en"",""bn"")"),"জামাত আলী মন্ডল")</f>
        <v>জামাত আলী মন্ডল</v>
      </c>
      <c r="Q842" s="2" t="s">
        <v>1109</v>
      </c>
      <c r="S842" s="2" t="s">
        <v>1109</v>
      </c>
      <c r="V842" s="2" t="s">
        <v>1873</v>
      </c>
      <c r="W842" s="2">
        <v>2</v>
      </c>
    </row>
    <row r="843" spans="1:23" ht="15.75" customHeight="1" x14ac:dyDescent="0.35">
      <c r="A843" s="2" t="s">
        <v>23</v>
      </c>
      <c r="L843" s="2">
        <v>192</v>
      </c>
      <c r="M843" s="2" t="s">
        <v>172</v>
      </c>
      <c r="O843" s="2" t="s">
        <v>1874</v>
      </c>
      <c r="P843" s="2" t="str">
        <f ca="1">IFERROR(__xludf.DUMMYFUNCTION("GOOGLETRANSLATE(O843,""en"",""bn"")"),"শ্যামলী কুমার")</f>
        <v>শ্যামলী কুমার</v>
      </c>
      <c r="Q843" s="2" t="s">
        <v>92</v>
      </c>
      <c r="S843" s="2" t="s">
        <v>92</v>
      </c>
      <c r="V843" s="2" t="s">
        <v>1875</v>
      </c>
      <c r="W843" s="2">
        <v>2</v>
      </c>
    </row>
    <row r="844" spans="1:23" ht="15.75" customHeight="1" x14ac:dyDescent="0.35">
      <c r="A844" s="2" t="s">
        <v>23</v>
      </c>
      <c r="L844" s="2">
        <v>195</v>
      </c>
      <c r="M844" s="2" t="s">
        <v>235</v>
      </c>
      <c r="O844" s="2" t="s">
        <v>1876</v>
      </c>
      <c r="P844" s="2" t="str">
        <f ca="1">IFERROR(__xludf.DUMMYFUNCTION("GOOGLETRANSLATE(O844,""en"",""bn"")"),"শেখ আব্দুল রহিম")</f>
        <v>শেখ আব্দুল রহিম</v>
      </c>
      <c r="Q844" s="2" t="s">
        <v>1370</v>
      </c>
      <c r="S844" s="2" t="s">
        <v>1370</v>
      </c>
      <c r="V844" s="2" t="s">
        <v>1877</v>
      </c>
      <c r="W844" s="2">
        <v>2</v>
      </c>
    </row>
    <row r="845" spans="1:23" ht="15.75" customHeight="1" x14ac:dyDescent="0.35">
      <c r="A845" s="2" t="s">
        <v>23</v>
      </c>
      <c r="L845" s="2">
        <v>138</v>
      </c>
      <c r="M845" s="2" t="s">
        <v>145</v>
      </c>
      <c r="O845" s="2" t="s">
        <v>1878</v>
      </c>
      <c r="P845" s="2" t="str">
        <f ca="1">IFERROR(__xludf.DUMMYFUNCTION("GOOGLETRANSLATE(O845,""en"",""bn"")"),"দিলিপ সানফুই")</f>
        <v>দিলিপ সানফুই</v>
      </c>
      <c r="Q845" s="2" t="s">
        <v>1322</v>
      </c>
      <c r="S845" s="2" t="s">
        <v>1322</v>
      </c>
      <c r="V845" s="2" t="s">
        <v>1879</v>
      </c>
      <c r="W845" s="2">
        <v>2</v>
      </c>
    </row>
    <row r="846" spans="1:23" ht="15.75" customHeight="1" x14ac:dyDescent="0.35">
      <c r="A846" s="2" t="s">
        <v>23</v>
      </c>
      <c r="L846" s="2">
        <v>117</v>
      </c>
      <c r="M846" s="2" t="s">
        <v>277</v>
      </c>
      <c r="O846" s="2" t="s">
        <v>1880</v>
      </c>
      <c r="P846" s="2" t="str">
        <f ca="1">IFERROR(__xludf.DUMMYFUNCTION("GOOGLETRANSLATE(O846,""en"",""bn"")"),"মনিকা মান্না")</f>
        <v>মনিকা মান্না</v>
      </c>
      <c r="Q846" s="2" t="s">
        <v>1433</v>
      </c>
      <c r="S846" s="2" t="s">
        <v>1433</v>
      </c>
      <c r="V846" s="2" t="s">
        <v>1881</v>
      </c>
      <c r="W846" s="2">
        <v>2</v>
      </c>
    </row>
    <row r="847" spans="1:23" ht="15.75" customHeight="1" x14ac:dyDescent="0.35">
      <c r="A847" s="2" t="s">
        <v>23</v>
      </c>
      <c r="L847" s="2">
        <v>124</v>
      </c>
      <c r="M847" s="2" t="s">
        <v>190</v>
      </c>
      <c r="O847" s="2" t="s">
        <v>1882</v>
      </c>
      <c r="P847" s="2" t="str">
        <f ca="1">IFERROR(__xludf.DUMMYFUNCTION("GOOGLETRANSLATE(O847,""en"",""bn"")"),"শাবানা পারভিন")</f>
        <v>শাবানা পারভিন</v>
      </c>
      <c r="Q847" s="2" t="s">
        <v>1868</v>
      </c>
      <c r="S847" s="2" t="s">
        <v>1868</v>
      </c>
      <c r="V847" s="2" t="s">
        <v>1883</v>
      </c>
      <c r="W847" s="2">
        <v>2</v>
      </c>
    </row>
    <row r="848" spans="1:23" ht="15.75" customHeight="1" x14ac:dyDescent="0.35">
      <c r="A848" s="2" t="s">
        <v>23</v>
      </c>
      <c r="L848" s="2">
        <v>268</v>
      </c>
      <c r="M848" s="2" t="s">
        <v>286</v>
      </c>
      <c r="O848" s="2" t="s">
        <v>1884</v>
      </c>
      <c r="P848" s="2" t="str">
        <f ca="1">IFERROR(__xludf.DUMMYFUNCTION("GOOGLETRANSLATE(O848,""en"",""bn"")"),"প্রভাত মাঝি")</f>
        <v>প্রভাত মাঝি</v>
      </c>
      <c r="Q848" s="2" t="s">
        <v>92</v>
      </c>
      <c r="S848" s="2" t="s">
        <v>92</v>
      </c>
      <c r="V848" s="2" t="s">
        <v>1885</v>
      </c>
      <c r="W848" s="2">
        <v>2</v>
      </c>
    </row>
    <row r="849" spans="1:23" ht="15.75" customHeight="1" x14ac:dyDescent="0.35">
      <c r="A849" s="2" t="s">
        <v>23</v>
      </c>
      <c r="L849" s="2">
        <v>160</v>
      </c>
      <c r="M849" s="2" t="s">
        <v>72</v>
      </c>
      <c r="O849" s="2" t="s">
        <v>1886</v>
      </c>
      <c r="P849" s="2" t="str">
        <f ca="1">IFERROR(__xludf.DUMMYFUNCTION("GOOGLETRANSLATE(O849,""en"",""bn"")"),"এসকে আলমগীর")</f>
        <v>এসকে আলমগীর</v>
      </c>
      <c r="Q849" s="2" t="s">
        <v>1322</v>
      </c>
      <c r="S849" s="2" t="s">
        <v>1322</v>
      </c>
      <c r="V849" s="2" t="s">
        <v>1887</v>
      </c>
      <c r="W849" s="2">
        <v>2</v>
      </c>
    </row>
    <row r="850" spans="1:23" ht="15.75" customHeight="1" x14ac:dyDescent="0.35">
      <c r="A850" s="2" t="s">
        <v>23</v>
      </c>
      <c r="L850" s="2">
        <v>196</v>
      </c>
      <c r="M850" s="2" t="s">
        <v>148</v>
      </c>
      <c r="O850" s="2" t="s">
        <v>1888</v>
      </c>
      <c r="P850" s="2" t="str">
        <f ca="1">IFERROR(__xludf.DUMMYFUNCTION("GOOGLETRANSLATE(O850,""en"",""bn"")"),"এসকে. মুজাফফর আলী (মাজা)")</f>
        <v>এসকে. মুজাফফর আলী (মাজা)</v>
      </c>
      <c r="Q850" s="2" t="s">
        <v>1047</v>
      </c>
      <c r="S850" s="2" t="s">
        <v>1047</v>
      </c>
      <c r="V850" s="2" t="s">
        <v>1889</v>
      </c>
      <c r="W850" s="2">
        <v>2</v>
      </c>
    </row>
    <row r="851" spans="1:23" ht="15.75" customHeight="1" x14ac:dyDescent="0.35">
      <c r="A851" s="2" t="s">
        <v>23</v>
      </c>
      <c r="L851" s="2">
        <v>267</v>
      </c>
      <c r="M851" s="2" t="s">
        <v>54</v>
      </c>
      <c r="O851" s="2" t="s">
        <v>1890</v>
      </c>
      <c r="P851" s="2" t="str">
        <f ca="1">IFERROR(__xludf.DUMMYFUNCTION("GOOGLETRANSLATE(O851,""en"",""bn"")"),"বোথাম চৌধুরী")</f>
        <v>বোথাম চৌধুরী</v>
      </c>
      <c r="Q851" s="2" t="s">
        <v>1109</v>
      </c>
      <c r="S851" s="2" t="s">
        <v>1109</v>
      </c>
      <c r="V851" s="2" t="s">
        <v>1891</v>
      </c>
      <c r="W851" s="2">
        <v>2</v>
      </c>
    </row>
    <row r="852" spans="1:23" ht="15.75" customHeight="1" x14ac:dyDescent="0.35">
      <c r="A852" s="2" t="s">
        <v>23</v>
      </c>
      <c r="L852" s="2">
        <v>156</v>
      </c>
      <c r="M852" s="2" t="s">
        <v>94</v>
      </c>
      <c r="O852" s="2" t="s">
        <v>1892</v>
      </c>
      <c r="P852" s="2" t="str">
        <f ca="1">IFERROR(__xludf.DUMMYFUNCTION("GOOGLETRANSLATE(O852,""en"",""bn"")"),"তন্ময় সর্দার")</f>
        <v>তন্ময় সর্দার</v>
      </c>
      <c r="Q852" s="2" t="s">
        <v>1322</v>
      </c>
      <c r="S852" s="2" t="s">
        <v>1322</v>
      </c>
      <c r="V852" s="2" t="s">
        <v>1893</v>
      </c>
      <c r="W852" s="2">
        <v>2</v>
      </c>
    </row>
    <row r="853" spans="1:23" ht="15.75" customHeight="1" x14ac:dyDescent="0.35">
      <c r="A853" s="2" t="s">
        <v>23</v>
      </c>
      <c r="L853" s="2">
        <v>192</v>
      </c>
      <c r="M853" s="2" t="s">
        <v>172</v>
      </c>
      <c r="O853" s="2" t="s">
        <v>1894</v>
      </c>
      <c r="P853" s="2" t="str">
        <f ca="1">IFERROR(__xludf.DUMMYFUNCTION("GOOGLETRANSLATE(O853,""en"",""bn"")"),"শেখ নাসিরুদ্দিন")</f>
        <v>শেখ নাসিরুদ্দিন</v>
      </c>
      <c r="Q853" s="2" t="s">
        <v>1109</v>
      </c>
      <c r="S853" s="2" t="s">
        <v>1109</v>
      </c>
      <c r="V853" s="2" t="s">
        <v>1895</v>
      </c>
      <c r="W853" s="2">
        <v>2</v>
      </c>
    </row>
    <row r="854" spans="1:23" ht="15.75" customHeight="1" x14ac:dyDescent="0.35">
      <c r="A854" s="2" t="s">
        <v>23</v>
      </c>
      <c r="L854" s="2">
        <v>173</v>
      </c>
      <c r="M854" s="2" t="s">
        <v>127</v>
      </c>
      <c r="O854" s="2" t="s">
        <v>1896</v>
      </c>
      <c r="P854" s="2" t="str">
        <f ca="1">IFERROR(__xludf.DUMMYFUNCTION("GOOGLETRANSLATE(O854,""en"",""bn"")"),"অবিশেক দাস")</f>
        <v>অবিশেক দাস</v>
      </c>
      <c r="Q854" s="2" t="s">
        <v>1322</v>
      </c>
      <c r="S854" s="2" t="s">
        <v>1322</v>
      </c>
      <c r="V854" s="2" t="s">
        <v>1897</v>
      </c>
      <c r="W854" s="2">
        <v>2</v>
      </c>
    </row>
    <row r="855" spans="1:23" ht="15.75" customHeight="1" x14ac:dyDescent="0.35">
      <c r="A855" s="2" t="s">
        <v>23</v>
      </c>
      <c r="L855" s="2">
        <v>166</v>
      </c>
      <c r="M855" s="2" t="s">
        <v>247</v>
      </c>
      <c r="O855" s="2" t="s">
        <v>1898</v>
      </c>
      <c r="P855" s="2" t="str">
        <f ca="1">IFERROR(__xludf.DUMMYFUNCTION("GOOGLETRANSLATE(O855,""en"",""bn"")"),"অয়ন চক্রবর্তী")</f>
        <v>অয়ন চক্রবর্তী</v>
      </c>
      <c r="Q855" s="2" t="s">
        <v>1322</v>
      </c>
      <c r="S855" s="2" t="s">
        <v>1322</v>
      </c>
      <c r="V855" s="2" t="s">
        <v>1899</v>
      </c>
      <c r="W855" s="2">
        <v>2</v>
      </c>
    </row>
    <row r="856" spans="1:23" ht="15.75" customHeight="1" x14ac:dyDescent="0.35">
      <c r="A856" s="2" t="s">
        <v>23</v>
      </c>
      <c r="L856" s="2">
        <v>145</v>
      </c>
      <c r="M856" s="2" t="s">
        <v>166</v>
      </c>
      <c r="O856" s="2" t="s">
        <v>1900</v>
      </c>
      <c r="P856" s="2" t="str">
        <f ca="1">IFERROR(__xludf.DUMMYFUNCTION("GOOGLETRANSLATE(O856,""en"",""bn"")"),"সঞ্জয় প্রমাণিক")</f>
        <v>সঞ্জয় প্রমাণিক</v>
      </c>
      <c r="Q856" s="2" t="s">
        <v>1322</v>
      </c>
      <c r="S856" s="2" t="s">
        <v>1322</v>
      </c>
      <c r="V856" s="2" t="s">
        <v>1901</v>
      </c>
      <c r="W856" s="2">
        <v>2</v>
      </c>
    </row>
    <row r="857" spans="1:23" ht="15.75" customHeight="1" x14ac:dyDescent="0.35">
      <c r="A857" s="2" t="s">
        <v>23</v>
      </c>
      <c r="L857" s="2">
        <v>160</v>
      </c>
      <c r="M857" s="2" t="s">
        <v>72</v>
      </c>
      <c r="O857" s="2" t="s">
        <v>1902</v>
      </c>
      <c r="P857" s="2" t="str">
        <f ca="1">IFERROR(__xludf.DUMMYFUNCTION("GOOGLETRANSLATE(O857,""en"",""bn"")"),"দেবাশিস নাথ")</f>
        <v>দেবাশিস নাথ</v>
      </c>
      <c r="Q857" s="2" t="s">
        <v>1322</v>
      </c>
      <c r="S857" s="2" t="s">
        <v>1322</v>
      </c>
      <c r="V857" s="2" t="s">
        <v>1903</v>
      </c>
      <c r="W857" s="2">
        <v>2</v>
      </c>
    </row>
    <row r="858" spans="1:23" ht="15.75" customHeight="1" x14ac:dyDescent="0.35">
      <c r="A858" s="2" t="s">
        <v>23</v>
      </c>
      <c r="L858" s="2">
        <v>138</v>
      </c>
      <c r="M858" s="2" t="s">
        <v>145</v>
      </c>
      <c r="O858" s="2" t="s">
        <v>1904</v>
      </c>
      <c r="P858" s="2" t="str">
        <f ca="1">IFERROR(__xludf.DUMMYFUNCTION("GOOGLETRANSLATE(O858,""en"",""bn"")"),"প্রশান্ত দাস")</f>
        <v>প্রশান্ত দাস</v>
      </c>
      <c r="Q858" s="2" t="s">
        <v>1322</v>
      </c>
      <c r="S858" s="2" t="s">
        <v>1322</v>
      </c>
      <c r="V858" s="2" t="s">
        <v>1905</v>
      </c>
      <c r="W858" s="2">
        <v>2</v>
      </c>
    </row>
    <row r="859" spans="1:23" ht="15.75" customHeight="1" x14ac:dyDescent="0.35">
      <c r="A859" s="2" t="s">
        <v>23</v>
      </c>
      <c r="L859" s="2">
        <v>90</v>
      </c>
      <c r="M859" s="2" t="s">
        <v>280</v>
      </c>
      <c r="O859" s="2" t="s">
        <v>1906</v>
      </c>
      <c r="P859" s="2" t="str">
        <f ca="1">IFERROR(__xludf.DUMMYFUNCTION("GOOGLETRANSLATE(O859,""en"",""bn"")"),"মনমথ বিশ্বাস")</f>
        <v>মনমথ বিশ্বাস</v>
      </c>
      <c r="Q859" s="2" t="s">
        <v>1322</v>
      </c>
      <c r="S859" s="2" t="s">
        <v>1322</v>
      </c>
      <c r="V859" s="2" t="s">
        <v>1907</v>
      </c>
      <c r="W859" s="2">
        <v>2</v>
      </c>
    </row>
    <row r="860" spans="1:23" ht="15.75" customHeight="1" x14ac:dyDescent="0.35">
      <c r="A860" s="2" t="s">
        <v>23</v>
      </c>
      <c r="L860" s="2">
        <v>158</v>
      </c>
      <c r="M860" s="2" t="s">
        <v>57</v>
      </c>
      <c r="O860" s="2" t="s">
        <v>1908</v>
      </c>
      <c r="P860" s="2" t="str">
        <f ca="1">IFERROR(__xludf.DUMMYFUNCTION("GOOGLETRANSLATE(O860,""en"",""bn"")"),"শ্রী চন্দ বিন্ড")</f>
        <v>শ্রী চন্দ বিন্ড</v>
      </c>
      <c r="Q860" s="2" t="s">
        <v>92</v>
      </c>
      <c r="S860" s="2" t="s">
        <v>92</v>
      </c>
      <c r="V860" s="2" t="s">
        <v>1909</v>
      </c>
      <c r="W860" s="2">
        <v>2</v>
      </c>
    </row>
    <row r="861" spans="1:23" ht="15.75" customHeight="1" x14ac:dyDescent="0.35">
      <c r="A861" s="2" t="s">
        <v>23</v>
      </c>
      <c r="L861" s="2">
        <v>156</v>
      </c>
      <c r="M861" s="2" t="s">
        <v>94</v>
      </c>
      <c r="O861" s="2" t="s">
        <v>1910</v>
      </c>
      <c r="P861" s="2" t="str">
        <f ca="1">IFERROR(__xludf.DUMMYFUNCTION("GOOGLETRANSLATE(O861,""en"",""bn"")"),"মাইনুর খান")</f>
        <v>মাইনুর খান</v>
      </c>
      <c r="Q861" s="2" t="s">
        <v>1322</v>
      </c>
      <c r="S861" s="2" t="s">
        <v>1322</v>
      </c>
      <c r="V861" s="2" t="s">
        <v>1911</v>
      </c>
      <c r="W861" s="2">
        <v>2</v>
      </c>
    </row>
    <row r="862" spans="1:23" ht="15.75" customHeight="1" x14ac:dyDescent="0.35">
      <c r="A862" s="2" t="s">
        <v>23</v>
      </c>
      <c r="L862" s="2">
        <v>176</v>
      </c>
      <c r="M862" s="2" t="s">
        <v>139</v>
      </c>
      <c r="O862" s="2" t="s">
        <v>1912</v>
      </c>
      <c r="P862" s="2" t="str">
        <f ca="1">IFERROR(__xludf.DUMMYFUNCTION("GOOGLETRANSLATE(O862,""en"",""bn"")"),"সুখেন্দু মন্ডল")</f>
        <v>সুখেন্দু মন্ডল</v>
      </c>
      <c r="Q862" s="2" t="s">
        <v>92</v>
      </c>
      <c r="S862" s="2" t="s">
        <v>92</v>
      </c>
      <c r="V862" s="2" t="s">
        <v>1913</v>
      </c>
      <c r="W862" s="2">
        <v>2</v>
      </c>
    </row>
    <row r="863" spans="1:23" ht="15.75" customHeight="1" x14ac:dyDescent="0.35">
      <c r="A863" s="2" t="s">
        <v>23</v>
      </c>
      <c r="L863" s="2">
        <v>107</v>
      </c>
      <c r="M863" s="2" t="s">
        <v>32</v>
      </c>
      <c r="O863" s="2" t="s">
        <v>1914</v>
      </c>
      <c r="P863" s="2" t="str">
        <f ca="1">IFERROR(__xludf.DUMMYFUNCTION("GOOGLETRANSLATE(O863,""en"",""bn"")"),"অমিত কুমার শ")</f>
        <v>অমিত কুমার শ</v>
      </c>
      <c r="Q863" s="2" t="s">
        <v>1322</v>
      </c>
      <c r="S863" s="2" t="s">
        <v>1322</v>
      </c>
      <c r="V863" s="2" t="s">
        <v>1915</v>
      </c>
      <c r="W863" s="2">
        <v>2</v>
      </c>
    </row>
    <row r="864" spans="1:23" ht="15.75" customHeight="1" x14ac:dyDescent="0.35">
      <c r="A864" s="2" t="s">
        <v>23</v>
      </c>
      <c r="L864" s="2">
        <v>109</v>
      </c>
      <c r="M864" s="2" t="s">
        <v>336</v>
      </c>
      <c r="O864" s="2" t="s">
        <v>1916</v>
      </c>
      <c r="P864" s="2" t="str">
        <f ca="1">IFERROR(__xludf.DUMMYFUNCTION("GOOGLETRANSLATE(O864,""en"",""bn"")"),"নাসিম খান")</f>
        <v>নাসিম খান</v>
      </c>
      <c r="Q864" s="2" t="s">
        <v>1109</v>
      </c>
      <c r="S864" s="2" t="s">
        <v>1109</v>
      </c>
      <c r="V864" s="2" t="s">
        <v>1917</v>
      </c>
      <c r="W864" s="2">
        <v>2</v>
      </c>
    </row>
    <row r="865" spans="1:23" ht="15.75" customHeight="1" x14ac:dyDescent="0.35">
      <c r="A865" s="2" t="s">
        <v>23</v>
      </c>
      <c r="L865" s="2">
        <v>139</v>
      </c>
      <c r="M865" s="2" t="s">
        <v>238</v>
      </c>
      <c r="O865" s="2" t="s">
        <v>1918</v>
      </c>
      <c r="P865" s="2" t="str">
        <f ca="1">IFERROR(__xludf.DUMMYFUNCTION("GOOGLETRANSLATE(O865,""en"",""bn"")"),"বিকাশ দাস")</f>
        <v>বিকাশ দাস</v>
      </c>
      <c r="Q865" s="2" t="s">
        <v>1322</v>
      </c>
      <c r="S865" s="2" t="s">
        <v>1322</v>
      </c>
      <c r="V865" s="2" t="s">
        <v>1919</v>
      </c>
      <c r="W865" s="2">
        <v>2</v>
      </c>
    </row>
    <row r="866" spans="1:23" ht="15.75" customHeight="1" x14ac:dyDescent="0.35">
      <c r="A866" s="2" t="s">
        <v>23</v>
      </c>
      <c r="L866" s="2">
        <v>182</v>
      </c>
      <c r="M866" s="2" t="s">
        <v>97</v>
      </c>
      <c r="O866" s="2" t="s">
        <v>1920</v>
      </c>
      <c r="P866" s="2" t="str">
        <f ca="1">IFERROR(__xludf.DUMMYFUNCTION("GOOGLETRANSLATE(O866,""en"",""bn"")"),"দেবরাজ গায়েন")</f>
        <v>দেবরাজ গায়েন</v>
      </c>
      <c r="Q866" s="2" t="s">
        <v>1322</v>
      </c>
      <c r="S866" s="2" t="s">
        <v>1322</v>
      </c>
      <c r="V866" s="2" t="s">
        <v>1921</v>
      </c>
      <c r="W866" s="2">
        <v>2</v>
      </c>
    </row>
    <row r="867" spans="1:23" ht="15.75" customHeight="1" x14ac:dyDescent="0.35">
      <c r="A867" s="2" t="s">
        <v>23</v>
      </c>
      <c r="L867" s="2">
        <v>266</v>
      </c>
      <c r="M867" s="2" t="s">
        <v>214</v>
      </c>
      <c r="O867" s="2" t="s">
        <v>1922</v>
      </c>
      <c r="P867" s="2" t="str">
        <f ca="1">IFERROR(__xludf.DUMMYFUNCTION("GOOGLETRANSLATE(O867,""en"",""bn"")"),"গণেশ মাঝি")</f>
        <v>গণেশ মাঝি</v>
      </c>
      <c r="Q867" s="2" t="s">
        <v>1322</v>
      </c>
      <c r="S867" s="2" t="s">
        <v>1322</v>
      </c>
      <c r="V867" s="2" t="s">
        <v>1923</v>
      </c>
      <c r="W867" s="2">
        <v>2</v>
      </c>
    </row>
    <row r="868" spans="1:23" ht="15.75" customHeight="1" x14ac:dyDescent="0.35">
      <c r="A868" s="2" t="s">
        <v>23</v>
      </c>
      <c r="L868" s="2">
        <v>125</v>
      </c>
      <c r="M868" s="2" t="s">
        <v>160</v>
      </c>
      <c r="O868" s="2" t="s">
        <v>1924</v>
      </c>
      <c r="P868" s="2" t="str">
        <f ca="1">IFERROR(__xludf.DUMMYFUNCTION("GOOGLETRANSLATE(O868,""en"",""bn"")"),"মোকাদ্দাস হোসেন")</f>
        <v>মোকাদ্দাস হোসেন</v>
      </c>
      <c r="Q868" s="2" t="s">
        <v>1322</v>
      </c>
      <c r="S868" s="2" t="s">
        <v>1322</v>
      </c>
      <c r="V868" s="2" t="s">
        <v>1925</v>
      </c>
      <c r="W868" s="2">
        <v>2</v>
      </c>
    </row>
    <row r="869" spans="1:23" ht="15.75" customHeight="1" x14ac:dyDescent="0.35">
      <c r="A869" s="2" t="s">
        <v>23</v>
      </c>
      <c r="L869" s="2">
        <v>149</v>
      </c>
      <c r="M869" s="2" t="s">
        <v>51</v>
      </c>
      <c r="O869" s="2" t="s">
        <v>1926</v>
      </c>
      <c r="P869" s="2" t="str">
        <f ca="1">IFERROR(__xludf.DUMMYFUNCTION("GOOGLETRANSLATE(O869,""en"",""bn"")"),"চন্দন দে")</f>
        <v>চন্দন দে</v>
      </c>
      <c r="Q869" s="2" t="s">
        <v>1322</v>
      </c>
      <c r="S869" s="2" t="s">
        <v>1322</v>
      </c>
      <c r="V869" s="2" t="s">
        <v>1927</v>
      </c>
      <c r="W869" s="2">
        <v>2</v>
      </c>
    </row>
    <row r="870" spans="1:23" ht="15.75" customHeight="1" x14ac:dyDescent="0.35">
      <c r="A870" s="2" t="s">
        <v>23</v>
      </c>
      <c r="L870" s="2">
        <v>112</v>
      </c>
      <c r="M870" s="2" t="s">
        <v>196</v>
      </c>
      <c r="O870" s="2" t="s">
        <v>1928</v>
      </c>
      <c r="P870" s="2" t="str">
        <f ca="1">IFERROR(__xludf.DUMMYFUNCTION("GOOGLETRANSLATE(O870,""en"",""bn"")"),"বিরজু শ")</f>
        <v>বিরজু শ</v>
      </c>
      <c r="Q870" s="2" t="s">
        <v>1322</v>
      </c>
      <c r="S870" s="2" t="s">
        <v>1322</v>
      </c>
      <c r="V870" s="2" t="s">
        <v>1929</v>
      </c>
      <c r="W870" s="2">
        <v>2</v>
      </c>
    </row>
    <row r="871" spans="1:23" ht="15.75" customHeight="1" x14ac:dyDescent="0.35">
      <c r="A871" s="2" t="s">
        <v>23</v>
      </c>
      <c r="L871" s="2">
        <v>159</v>
      </c>
      <c r="M871" s="2" t="s">
        <v>157</v>
      </c>
      <c r="O871" s="2" t="s">
        <v>1930</v>
      </c>
      <c r="P871" s="2" t="str">
        <f ca="1">IFERROR(__xludf.DUMMYFUNCTION("GOOGLETRANSLATE(O871,""en"",""bn"")"),"মালয় গুহা রায়")</f>
        <v>মালয় গুহা রায়</v>
      </c>
      <c r="Q871" s="2" t="s">
        <v>1322</v>
      </c>
      <c r="S871" s="2" t="s">
        <v>1322</v>
      </c>
      <c r="V871" s="2" t="s">
        <v>1931</v>
      </c>
      <c r="W871" s="2">
        <v>2</v>
      </c>
    </row>
    <row r="872" spans="1:23" ht="15.75" customHeight="1" x14ac:dyDescent="0.35">
      <c r="A872" s="2" t="s">
        <v>23</v>
      </c>
      <c r="L872" s="2">
        <v>133</v>
      </c>
      <c r="M872" s="2" t="s">
        <v>384</v>
      </c>
      <c r="O872" s="2" t="s">
        <v>1932</v>
      </c>
      <c r="P872" s="2" t="str">
        <f ca="1">IFERROR(__xludf.DUMMYFUNCTION("GOOGLETRANSLATE(O872,""en"",""bn"")"),"সাবিনা খাতুন")</f>
        <v>সাবিনা খাতুন</v>
      </c>
      <c r="Q872" s="2" t="s">
        <v>1109</v>
      </c>
      <c r="S872" s="2" t="s">
        <v>1109</v>
      </c>
      <c r="V872" s="2" t="s">
        <v>1933</v>
      </c>
      <c r="W872" s="2">
        <v>2</v>
      </c>
    </row>
    <row r="873" spans="1:23" ht="15.75" customHeight="1" x14ac:dyDescent="0.35">
      <c r="A873" s="2" t="s">
        <v>23</v>
      </c>
      <c r="L873" s="2">
        <v>118</v>
      </c>
      <c r="M873" s="2" t="s">
        <v>121</v>
      </c>
      <c r="O873" s="2" t="s">
        <v>1934</v>
      </c>
      <c r="P873" s="2" t="str">
        <f ca="1">IFERROR(__xludf.DUMMYFUNCTION("GOOGLETRANSLATE(O873,""en"",""bn"")"),"প্রিয়াঙ্কা বর্মন")</f>
        <v>প্রিয়াঙ্কা বর্মন</v>
      </c>
      <c r="Q873" s="2" t="s">
        <v>1047</v>
      </c>
      <c r="S873" s="2" t="s">
        <v>1047</v>
      </c>
      <c r="V873" s="2" t="s">
        <v>1935</v>
      </c>
      <c r="W873" s="2">
        <v>2</v>
      </c>
    </row>
    <row r="874" spans="1:23" ht="15.75" customHeight="1" x14ac:dyDescent="0.35">
      <c r="A874" s="2" t="s">
        <v>23</v>
      </c>
      <c r="L874" s="2">
        <v>180</v>
      </c>
      <c r="M874" s="2" t="s">
        <v>324</v>
      </c>
      <c r="O874" s="2" t="s">
        <v>1936</v>
      </c>
      <c r="P874" s="2" t="str">
        <f ca="1">IFERROR(__xludf.DUMMYFUNCTION("GOOGLETRANSLATE(O874,""en"",""bn"")"),"নারায়ণ চন্দ্র জন")</f>
        <v>নারায়ণ চন্দ্র জন</v>
      </c>
      <c r="Q874" s="2" t="s">
        <v>1322</v>
      </c>
      <c r="S874" s="2" t="s">
        <v>1322</v>
      </c>
      <c r="V874" s="2" t="s">
        <v>1937</v>
      </c>
      <c r="W874" s="2">
        <v>2</v>
      </c>
    </row>
    <row r="875" spans="1:23" ht="15.75" customHeight="1" x14ac:dyDescent="0.35">
      <c r="A875" s="2" t="s">
        <v>23</v>
      </c>
      <c r="L875" s="2">
        <v>197</v>
      </c>
      <c r="M875" s="2" t="s">
        <v>360</v>
      </c>
      <c r="O875" s="2" t="s">
        <v>1938</v>
      </c>
      <c r="P875" s="2" t="str">
        <f ca="1">IFERROR(__xludf.DUMMYFUNCTION("GOOGLETRANSLATE(O875,""en"",""bn"")"),"শেফালি সান্ত্রা")</f>
        <v>শেফালি সান্ত্রা</v>
      </c>
      <c r="Q875" s="2" t="s">
        <v>1322</v>
      </c>
      <c r="S875" s="2" t="s">
        <v>1322</v>
      </c>
      <c r="V875" s="2" t="s">
        <v>1939</v>
      </c>
      <c r="W875" s="2">
        <v>2</v>
      </c>
    </row>
    <row r="876" spans="1:23" ht="15.75" customHeight="1" x14ac:dyDescent="0.35">
      <c r="A876" s="2" t="s">
        <v>23</v>
      </c>
      <c r="L876" s="2">
        <v>115</v>
      </c>
      <c r="M876" s="2" t="s">
        <v>84</v>
      </c>
      <c r="O876" s="2" t="s">
        <v>1940</v>
      </c>
      <c r="P876" s="2" t="str">
        <f ca="1">IFERROR(__xludf.DUMMYFUNCTION("GOOGLETRANSLATE(O876,""en"",""bn"")"),"শুভঙ্কর মন্ডল")</f>
        <v>শুভঙ্কর মন্ডল</v>
      </c>
      <c r="Q876" s="2" t="s">
        <v>1626</v>
      </c>
      <c r="S876" s="2" t="s">
        <v>1626</v>
      </c>
      <c r="V876" s="2" t="s">
        <v>1941</v>
      </c>
      <c r="W876" s="2">
        <v>2</v>
      </c>
    </row>
    <row r="877" spans="1:23" ht="15.75" customHeight="1" x14ac:dyDescent="0.35">
      <c r="A877" s="2" t="s">
        <v>23</v>
      </c>
      <c r="L877" s="2">
        <v>195</v>
      </c>
      <c r="M877" s="2" t="s">
        <v>235</v>
      </c>
      <c r="O877" s="2" t="s">
        <v>1942</v>
      </c>
      <c r="P877" s="2" t="str">
        <f ca="1">IFERROR(__xludf.DUMMYFUNCTION("GOOGLETRANSLATE(O877,""en"",""bn"")"),"কার্তিক চন্দ্র পাল")</f>
        <v>কার্তিক চন্দ্র পাল</v>
      </c>
      <c r="Q877" s="2" t="s">
        <v>1322</v>
      </c>
      <c r="S877" s="2" t="s">
        <v>1322</v>
      </c>
      <c r="V877" s="2" t="s">
        <v>1943</v>
      </c>
      <c r="W877" s="2">
        <v>2</v>
      </c>
    </row>
    <row r="878" spans="1:23" ht="15.75" customHeight="1" x14ac:dyDescent="0.35">
      <c r="A878" s="2" t="s">
        <v>23</v>
      </c>
      <c r="L878" s="2">
        <v>123</v>
      </c>
      <c r="M878" s="2" t="s">
        <v>208</v>
      </c>
      <c r="O878" s="2" t="s">
        <v>1944</v>
      </c>
      <c r="P878" s="2" t="str">
        <f ca="1">IFERROR(__xludf.DUMMYFUNCTION("GOOGLETRANSLATE(O878,""en"",""bn"")"),"সুবল চন্দ্র সর্দার")</f>
        <v>সুবল চন্দ্র সর্দার</v>
      </c>
      <c r="Q878" s="2" t="s">
        <v>1322</v>
      </c>
      <c r="S878" s="2" t="s">
        <v>1322</v>
      </c>
      <c r="V878" s="2" t="s">
        <v>1945</v>
      </c>
      <c r="W878" s="2">
        <v>2</v>
      </c>
    </row>
    <row r="879" spans="1:23" ht="15.75" customHeight="1" x14ac:dyDescent="0.35">
      <c r="A879" s="2" t="s">
        <v>23</v>
      </c>
      <c r="L879" s="2">
        <v>165</v>
      </c>
      <c r="M879" s="2" t="s">
        <v>390</v>
      </c>
      <c r="O879" s="2" t="s">
        <v>1946</v>
      </c>
      <c r="P879" s="2" t="str">
        <f ca="1">IFERROR(__xludf.DUMMYFUNCTION("GOOGLETRANSLATE(O879,""en"",""bn"")"),"বিজয় ওঝা")</f>
        <v>বিজয় ওঝা</v>
      </c>
      <c r="Q879" s="2" t="s">
        <v>1322</v>
      </c>
      <c r="S879" s="2" t="s">
        <v>1322</v>
      </c>
      <c r="V879" s="2" t="s">
        <v>1947</v>
      </c>
      <c r="W879" s="2">
        <v>2</v>
      </c>
    </row>
    <row r="880" spans="1:23" ht="15.75" customHeight="1" x14ac:dyDescent="0.35">
      <c r="A880" s="2" t="s">
        <v>23</v>
      </c>
      <c r="L880" s="2">
        <v>188</v>
      </c>
      <c r="M880" s="2" t="s">
        <v>106</v>
      </c>
      <c r="O880" s="2" t="s">
        <v>1948</v>
      </c>
      <c r="P880" s="2" t="str">
        <f ca="1">IFERROR(__xludf.DUMMYFUNCTION("GOOGLETRANSLATE(O880,""en"",""bn"")"),"সুকান্ত পোরেল")</f>
        <v>সুকান্ত পোরেল</v>
      </c>
      <c r="Q880" s="2" t="s">
        <v>92</v>
      </c>
      <c r="S880" s="2" t="s">
        <v>92</v>
      </c>
      <c r="V880" s="2" t="s">
        <v>1949</v>
      </c>
      <c r="W880" s="2">
        <v>2</v>
      </c>
    </row>
    <row r="881" spans="1:23" ht="15.75" customHeight="1" x14ac:dyDescent="0.35">
      <c r="A881" s="2" t="s">
        <v>23</v>
      </c>
      <c r="L881" s="2">
        <v>79</v>
      </c>
      <c r="M881" s="2" t="s">
        <v>103</v>
      </c>
      <c r="O881" s="2" t="s">
        <v>1783</v>
      </c>
      <c r="P881" s="2" t="str">
        <f ca="1">IFERROR(__xludf.DUMMYFUNCTION("GOOGLETRANSLATE(O881,""en"",""bn"")"),"স্বপন মন্ডল")</f>
        <v>স্বপন মন্ডল</v>
      </c>
      <c r="Q881" s="2" t="s">
        <v>1375</v>
      </c>
      <c r="S881" s="2" t="s">
        <v>1375</v>
      </c>
      <c r="V881" s="2" t="s">
        <v>1950</v>
      </c>
      <c r="W881" s="2">
        <v>2</v>
      </c>
    </row>
    <row r="882" spans="1:23" ht="15.75" customHeight="1" x14ac:dyDescent="0.35">
      <c r="A882" s="2" t="s">
        <v>23</v>
      </c>
      <c r="L882" s="2">
        <v>183</v>
      </c>
      <c r="M882" s="2" t="s">
        <v>295</v>
      </c>
      <c r="O882" s="2" t="s">
        <v>1951</v>
      </c>
      <c r="P882" s="2" t="str">
        <f ca="1">IFERROR(__xludf.DUMMYFUNCTION("GOOGLETRANSLATE(O882,""en"",""bn"")"),"কৌশিক ঘোষ")</f>
        <v>কৌশিক ঘোষ</v>
      </c>
      <c r="Q882" s="2" t="s">
        <v>1322</v>
      </c>
      <c r="S882" s="2" t="s">
        <v>1322</v>
      </c>
      <c r="V882" s="2" t="s">
        <v>1952</v>
      </c>
      <c r="W882" s="2">
        <v>2</v>
      </c>
    </row>
    <row r="883" spans="1:23" ht="15.75" customHeight="1" x14ac:dyDescent="0.35">
      <c r="A883" s="2" t="s">
        <v>23</v>
      </c>
      <c r="L883" s="2">
        <v>86</v>
      </c>
      <c r="M883" s="2" t="s">
        <v>432</v>
      </c>
      <c r="O883" s="2" t="s">
        <v>1953</v>
      </c>
      <c r="P883" s="2" t="str">
        <f ca="1">IFERROR(__xludf.DUMMYFUNCTION("GOOGLETRANSLATE(O883,""en"",""bn"")"),"অরিন্দম ভট্টাচার্য")</f>
        <v>অরিন্দম ভট্টাচার্য</v>
      </c>
      <c r="Q883" s="2" t="s">
        <v>1322</v>
      </c>
      <c r="S883" s="2" t="s">
        <v>1322</v>
      </c>
      <c r="V883" s="2" t="s">
        <v>1954</v>
      </c>
      <c r="W883" s="2">
        <v>2</v>
      </c>
    </row>
    <row r="884" spans="1:23" ht="15.75" customHeight="1" x14ac:dyDescent="0.35">
      <c r="A884" s="2" t="s">
        <v>23</v>
      </c>
      <c r="L884" s="2">
        <v>116</v>
      </c>
      <c r="M884" s="2" t="s">
        <v>39</v>
      </c>
      <c r="O884" s="2" t="s">
        <v>1955</v>
      </c>
      <c r="P884" s="2" t="str">
        <f ca="1">IFERROR(__xludf.DUMMYFUNCTION("GOOGLETRANSLATE(O884,""en"",""bn"")"),"শম্পা মুখার্জি")</f>
        <v>শম্পা মুখার্জি</v>
      </c>
      <c r="Q884" s="2" t="s">
        <v>1322</v>
      </c>
      <c r="S884" s="2" t="s">
        <v>1322</v>
      </c>
      <c r="V884" s="2" t="s">
        <v>1956</v>
      </c>
      <c r="W884" s="2">
        <v>2</v>
      </c>
    </row>
    <row r="885" spans="1:23" ht="15.75" customHeight="1" x14ac:dyDescent="0.35">
      <c r="A885" s="2" t="s">
        <v>23</v>
      </c>
      <c r="L885" s="2">
        <v>137</v>
      </c>
      <c r="M885" s="2" t="s">
        <v>372</v>
      </c>
      <c r="O885" s="2" t="s">
        <v>1957</v>
      </c>
      <c r="P885" s="2" t="str">
        <f ca="1">IFERROR(__xludf.DUMMYFUNCTION("GOOGLETRANSLATE(O885,""en"",""bn"")"),"জয়দেব নস্কর")</f>
        <v>জয়দেব নস্কর</v>
      </c>
      <c r="Q885" s="2" t="s">
        <v>92</v>
      </c>
      <c r="S885" s="2" t="s">
        <v>92</v>
      </c>
      <c r="V885" s="2" t="s">
        <v>1958</v>
      </c>
      <c r="W885" s="2">
        <v>2</v>
      </c>
    </row>
    <row r="886" spans="1:23" ht="15.75" customHeight="1" x14ac:dyDescent="0.35">
      <c r="A886" s="2" t="s">
        <v>23</v>
      </c>
      <c r="L886" s="2">
        <v>185</v>
      </c>
      <c r="M886" s="2" t="s">
        <v>241</v>
      </c>
      <c r="O886" s="2" t="s">
        <v>1959</v>
      </c>
      <c r="P886" s="2" t="str">
        <f ca="1">IFERROR(__xludf.DUMMYFUNCTION("GOOGLETRANSLATE(O886,""en"",""bn"")"),"সুমন পল")</f>
        <v>সুমন পল</v>
      </c>
      <c r="Q886" s="2" t="s">
        <v>1322</v>
      </c>
      <c r="S886" s="2" t="s">
        <v>1322</v>
      </c>
      <c r="V886" s="2" t="s">
        <v>1960</v>
      </c>
      <c r="W886" s="2">
        <v>2</v>
      </c>
    </row>
    <row r="887" spans="1:23" ht="15.75" customHeight="1" x14ac:dyDescent="0.35">
      <c r="A887" s="2" t="s">
        <v>23</v>
      </c>
      <c r="L887" s="2">
        <v>124</v>
      </c>
      <c r="M887" s="2" t="s">
        <v>190</v>
      </c>
      <c r="O887" s="2" t="s">
        <v>1961</v>
      </c>
      <c r="P887" s="2" t="str">
        <f ca="1">IFERROR(__xludf.DUMMYFUNCTION("GOOGLETRANSLATE(O887,""en"",""bn"")"),"হিরন্ময় মন্ডল")</f>
        <v>হিরন্ময় মন্ডল</v>
      </c>
      <c r="Q887" s="2" t="s">
        <v>92</v>
      </c>
      <c r="S887" s="2" t="s">
        <v>92</v>
      </c>
      <c r="V887" s="2" t="s">
        <v>1962</v>
      </c>
      <c r="W887" s="2">
        <v>2</v>
      </c>
    </row>
    <row r="888" spans="1:23" ht="15.75" customHeight="1" x14ac:dyDescent="0.35">
      <c r="A888" s="2" t="s">
        <v>23</v>
      </c>
      <c r="L888" s="2">
        <v>163</v>
      </c>
      <c r="M888" s="2" t="s">
        <v>363</v>
      </c>
      <c r="O888" s="2" t="s">
        <v>1963</v>
      </c>
      <c r="P888" s="2" t="str">
        <f ca="1">IFERROR(__xludf.DUMMYFUNCTION("GOOGLETRANSLATE(O888,""en"",""bn"")"),"আনশার আলী")</f>
        <v>আনশার আলী</v>
      </c>
      <c r="Q888" s="2" t="s">
        <v>1322</v>
      </c>
      <c r="S888" s="2" t="s">
        <v>1322</v>
      </c>
      <c r="V888" s="2" t="s">
        <v>1964</v>
      </c>
      <c r="W888" s="2">
        <v>2</v>
      </c>
    </row>
    <row r="889" spans="1:23" ht="15.75" customHeight="1" x14ac:dyDescent="0.35">
      <c r="A889" s="2" t="s">
        <v>23</v>
      </c>
      <c r="L889" s="2">
        <v>202</v>
      </c>
      <c r="M889" s="2" t="s">
        <v>312</v>
      </c>
      <c r="O889" s="2" t="s">
        <v>1965</v>
      </c>
      <c r="P889" s="2" t="str">
        <f ca="1">IFERROR(__xludf.DUMMYFUNCTION("GOOGLETRANSLATE(O889,""en"",""bn"")"),"এসকে সাদ্দাম হোসেন")</f>
        <v>এসকে সাদ্দাম হোসেন</v>
      </c>
      <c r="Q889" s="2" t="s">
        <v>1047</v>
      </c>
      <c r="S889" s="2" t="s">
        <v>1047</v>
      </c>
      <c r="V889" s="2" t="s">
        <v>1966</v>
      </c>
      <c r="W889" s="2">
        <v>2</v>
      </c>
    </row>
    <row r="890" spans="1:23" ht="15.75" customHeight="1" x14ac:dyDescent="0.35">
      <c r="A890" s="2" t="s">
        <v>23</v>
      </c>
      <c r="L890" s="2">
        <v>92</v>
      </c>
      <c r="M890" s="2" t="s">
        <v>321</v>
      </c>
      <c r="O890" s="2" t="s">
        <v>671</v>
      </c>
      <c r="P890" s="2" t="str">
        <f ca="1">IFERROR(__xludf.DUMMYFUNCTION("GOOGLETRANSLATE(O890,""en"",""bn"")"),"অনুপম বিশ্বাস")</f>
        <v>অনুপম বিশ্বাস</v>
      </c>
      <c r="Q890" s="2" t="s">
        <v>1322</v>
      </c>
      <c r="S890" s="2" t="s">
        <v>1322</v>
      </c>
      <c r="V890" s="2" t="s">
        <v>1967</v>
      </c>
      <c r="W890" s="2">
        <v>2</v>
      </c>
    </row>
    <row r="891" spans="1:23" ht="15.75" customHeight="1" x14ac:dyDescent="0.35">
      <c r="A891" s="2" t="s">
        <v>23</v>
      </c>
      <c r="L891" s="2">
        <v>264</v>
      </c>
      <c r="M891" s="2" t="s">
        <v>393</v>
      </c>
      <c r="O891" s="2" t="s">
        <v>865</v>
      </c>
      <c r="P891" s="2" t="str">
        <f ca="1">IFERROR(__xludf.DUMMYFUNCTION("GOOGLETRANSLATE(O891,""en"",""bn"")"),"সুব্রত মন্ডল")</f>
        <v>সুব্রত মন্ডল</v>
      </c>
      <c r="Q891" s="2" t="s">
        <v>1322</v>
      </c>
      <c r="S891" s="2" t="s">
        <v>1322</v>
      </c>
      <c r="V891" s="2" t="s">
        <v>1968</v>
      </c>
      <c r="W891" s="2">
        <v>2</v>
      </c>
    </row>
    <row r="892" spans="1:23" ht="15.75" customHeight="1" x14ac:dyDescent="0.35">
      <c r="A892" s="2" t="s">
        <v>23</v>
      </c>
      <c r="L892" s="2">
        <v>259</v>
      </c>
      <c r="M892" s="2" t="s">
        <v>453</v>
      </c>
      <c r="O892" s="2" t="s">
        <v>1969</v>
      </c>
      <c r="P892" s="2" t="str">
        <f ca="1">IFERROR(__xludf.DUMMYFUNCTION("GOOGLETRANSLATE(O892,""en"",""bn"")"),"বিশ্বজিৎ সিং")</f>
        <v>বিশ্বজিৎ সিং</v>
      </c>
      <c r="Q892" s="2" t="s">
        <v>1322</v>
      </c>
      <c r="S892" s="2" t="s">
        <v>1322</v>
      </c>
      <c r="V892" s="2" t="s">
        <v>1970</v>
      </c>
      <c r="W892" s="2">
        <v>2</v>
      </c>
    </row>
    <row r="893" spans="1:23" ht="15.75" customHeight="1" x14ac:dyDescent="0.35">
      <c r="A893" s="2" t="s">
        <v>23</v>
      </c>
      <c r="L893" s="2">
        <v>128</v>
      </c>
      <c r="M893" s="2" t="s">
        <v>124</v>
      </c>
      <c r="O893" s="2" t="s">
        <v>1971</v>
      </c>
      <c r="P893" s="2" t="str">
        <f ca="1">IFERROR(__xludf.DUMMYFUNCTION("GOOGLETRANSLATE(O893,""en"",""bn"")"),"আসিম সরদার")</f>
        <v>আসিম সরদার</v>
      </c>
      <c r="Q893" s="2" t="s">
        <v>1322</v>
      </c>
      <c r="S893" s="2" t="s">
        <v>1322</v>
      </c>
      <c r="V893" s="2" t="s">
        <v>1972</v>
      </c>
      <c r="W893" s="2">
        <v>2</v>
      </c>
    </row>
    <row r="894" spans="1:23" ht="15.75" customHeight="1" x14ac:dyDescent="0.35">
      <c r="A894" s="2" t="s">
        <v>23</v>
      </c>
      <c r="L894" s="2">
        <v>189</v>
      </c>
      <c r="M894" s="2" t="s">
        <v>223</v>
      </c>
      <c r="O894" s="2" t="s">
        <v>1973</v>
      </c>
      <c r="P894" s="2" t="str">
        <f ca="1">IFERROR(__xludf.DUMMYFUNCTION("GOOGLETRANSLATE(O894,""en"",""bn"")"),"রোহিত সরকার")</f>
        <v>রোহিত সরকার</v>
      </c>
      <c r="Q894" s="2" t="s">
        <v>1833</v>
      </c>
      <c r="S894" s="2" t="s">
        <v>1833</v>
      </c>
      <c r="V894" s="2" t="s">
        <v>1974</v>
      </c>
      <c r="W894" s="2">
        <v>2</v>
      </c>
    </row>
    <row r="895" spans="1:23" ht="15.75" customHeight="1" x14ac:dyDescent="0.35">
      <c r="A895" s="2" t="s">
        <v>23</v>
      </c>
      <c r="L895" s="2">
        <v>111</v>
      </c>
      <c r="M895" s="2" t="s">
        <v>369</v>
      </c>
      <c r="O895" s="2" t="s">
        <v>1975</v>
      </c>
      <c r="P895" s="2" t="str">
        <f ca="1">IFERROR(__xludf.DUMMYFUNCTION("GOOGLETRANSLATE(O895,""en"",""bn"")"),"চন্দ্র শেখর চৌধুরী")</f>
        <v>চন্দ্র শেখর চৌধুরী</v>
      </c>
      <c r="Q895" s="2" t="s">
        <v>92</v>
      </c>
      <c r="S895" s="2" t="s">
        <v>92</v>
      </c>
      <c r="V895" s="2" t="s">
        <v>1976</v>
      </c>
      <c r="W895" s="2">
        <v>2</v>
      </c>
    </row>
    <row r="896" spans="1:23" ht="15.75" customHeight="1" x14ac:dyDescent="0.35">
      <c r="A896" s="2" t="s">
        <v>23</v>
      </c>
      <c r="L896" s="2">
        <v>271</v>
      </c>
      <c r="M896" s="2" t="s">
        <v>444</v>
      </c>
      <c r="O896" s="2" t="s">
        <v>1977</v>
      </c>
      <c r="P896" s="2" t="str">
        <f ca="1">IFERROR(__xludf.DUMMYFUNCTION("GOOGLETRANSLATE(O896,""en"",""bn"")"),"সাবিনা ইয়াসমিন (উশা)")</f>
        <v>সাবিনা ইয়াসমিন (উশা)</v>
      </c>
      <c r="Q896" s="2" t="s">
        <v>1109</v>
      </c>
      <c r="S896" s="2" t="s">
        <v>1109</v>
      </c>
      <c r="V896" s="2" t="s">
        <v>1978</v>
      </c>
      <c r="W896" s="2">
        <v>2</v>
      </c>
    </row>
    <row r="897" spans="1:23" ht="15.75" customHeight="1" x14ac:dyDescent="0.35">
      <c r="A897" s="2" t="s">
        <v>23</v>
      </c>
      <c r="L897" s="2">
        <v>268</v>
      </c>
      <c r="M897" s="2" t="s">
        <v>286</v>
      </c>
      <c r="O897" s="2" t="s">
        <v>1979</v>
      </c>
      <c r="P897" s="2" t="str">
        <f ca="1">IFERROR(__xludf.DUMMYFUNCTION("GOOGLETRANSLATE(O897,""en"",""bn"")"),"ফজর আলী শেখ")</f>
        <v>ফজর আলী শেখ</v>
      </c>
      <c r="Q897" s="2" t="s">
        <v>1109</v>
      </c>
      <c r="S897" s="2" t="s">
        <v>1109</v>
      </c>
      <c r="V897" s="2" t="s">
        <v>1980</v>
      </c>
      <c r="W897" s="2">
        <v>2</v>
      </c>
    </row>
    <row r="898" spans="1:23" ht="15.75" customHeight="1" x14ac:dyDescent="0.35">
      <c r="A898" s="2" t="s">
        <v>23</v>
      </c>
      <c r="L898" s="2">
        <v>177</v>
      </c>
      <c r="M898" s="2" t="s">
        <v>66</v>
      </c>
      <c r="O898" s="2" t="s">
        <v>1981</v>
      </c>
      <c r="P898" s="2" t="str">
        <f ca="1">IFERROR(__xludf.DUMMYFUNCTION("GOOGLETRANSLATE(O898,""en"",""bn"")"),"নন্দলাল ঘুকু")</f>
        <v>নন্দলাল ঘুকু</v>
      </c>
      <c r="Q898" s="2" t="s">
        <v>1322</v>
      </c>
      <c r="S898" s="2" t="s">
        <v>1322</v>
      </c>
      <c r="V898" s="2" t="s">
        <v>1982</v>
      </c>
      <c r="W898" s="2">
        <v>2</v>
      </c>
    </row>
    <row r="899" spans="1:23" ht="15.75" customHeight="1" x14ac:dyDescent="0.35">
      <c r="A899" s="2" t="s">
        <v>23</v>
      </c>
      <c r="L899" s="2">
        <v>78</v>
      </c>
      <c r="M899" s="2" t="s">
        <v>47</v>
      </c>
      <c r="O899" s="2" t="s">
        <v>1983</v>
      </c>
      <c r="P899" s="2" t="str">
        <f ca="1">IFERROR(__xludf.DUMMYFUNCTION("GOOGLETRANSLATE(O899,""en"",""bn"")"),"নাজবুল আনসারী")</f>
        <v>নাজবুল আনসারী</v>
      </c>
      <c r="Q899" s="2" t="s">
        <v>92</v>
      </c>
      <c r="S899" s="2" t="s">
        <v>92</v>
      </c>
      <c r="V899" s="2" t="s">
        <v>1984</v>
      </c>
      <c r="W899" s="2">
        <v>2</v>
      </c>
    </row>
    <row r="900" spans="1:23" ht="15.75" customHeight="1" x14ac:dyDescent="0.35">
      <c r="A900" s="2" t="s">
        <v>23</v>
      </c>
      <c r="L900" s="2">
        <v>96</v>
      </c>
      <c r="M900" s="2" t="s">
        <v>229</v>
      </c>
      <c r="O900" s="2" t="s">
        <v>1985</v>
      </c>
      <c r="P900" s="2" t="str">
        <f ca="1">IFERROR(__xludf.DUMMYFUNCTION("GOOGLETRANSLATE(O900,""en"",""bn"")"),"কল্যাণী মন্ডল")</f>
        <v>কল্যাণী মন্ডল</v>
      </c>
      <c r="Q900" s="2" t="s">
        <v>1322</v>
      </c>
      <c r="S900" s="2" t="s">
        <v>1322</v>
      </c>
      <c r="V900" s="2" t="s">
        <v>1986</v>
      </c>
      <c r="W900" s="2">
        <v>2</v>
      </c>
    </row>
    <row r="901" spans="1:23" ht="15.75" customHeight="1" x14ac:dyDescent="0.35">
      <c r="A901" s="2" t="s">
        <v>23</v>
      </c>
      <c r="L901" s="2">
        <v>147</v>
      </c>
      <c r="M901" s="2" t="s">
        <v>265</v>
      </c>
      <c r="O901" s="2" t="s">
        <v>1987</v>
      </c>
      <c r="P901" s="2" t="str">
        <f ca="1">IFERROR(__xludf.DUMMYFUNCTION("GOOGLETRANSLATE(O901,""en"",""bn"")"),"মিনাতি মিত্র হালদার")</f>
        <v>মিনাতি মিত্র হালদার</v>
      </c>
      <c r="Q901" s="2" t="s">
        <v>92</v>
      </c>
      <c r="S901" s="2" t="s">
        <v>92</v>
      </c>
      <c r="V901" s="2" t="s">
        <v>1988</v>
      </c>
      <c r="W901" s="2">
        <v>2</v>
      </c>
    </row>
    <row r="902" spans="1:23" ht="15.75" customHeight="1" x14ac:dyDescent="0.35">
      <c r="A902" s="2" t="s">
        <v>23</v>
      </c>
      <c r="L902" s="2">
        <v>77</v>
      </c>
      <c r="M902" s="2" t="s">
        <v>202</v>
      </c>
      <c r="O902" s="2" t="s">
        <v>1989</v>
      </c>
      <c r="P902" s="2" t="s">
        <v>3056</v>
      </c>
      <c r="Q902" s="2" t="s">
        <v>1109</v>
      </c>
      <c r="S902" s="2" t="s">
        <v>1109</v>
      </c>
      <c r="V902" s="2" t="s">
        <v>1990</v>
      </c>
      <c r="W902" s="2">
        <v>2</v>
      </c>
    </row>
    <row r="903" spans="1:23" ht="15.75" customHeight="1" x14ac:dyDescent="0.35">
      <c r="A903" s="2" t="s">
        <v>23</v>
      </c>
      <c r="L903" s="2">
        <v>267</v>
      </c>
      <c r="M903" s="2" t="s">
        <v>54</v>
      </c>
      <c r="O903" s="2" t="s">
        <v>1991</v>
      </c>
      <c r="P903" s="2" t="str">
        <f ca="1">IFERROR(__xludf.DUMMYFUNCTION("GOOGLETRANSLATE(O903,""en"",""bn"")"),"নজরুল ইসলাম")</f>
        <v>নজরুল ইসলাম</v>
      </c>
      <c r="Q903" s="2" t="s">
        <v>1322</v>
      </c>
      <c r="S903" s="2" t="s">
        <v>1322</v>
      </c>
      <c r="V903" s="2" t="s">
        <v>1992</v>
      </c>
      <c r="W903" s="2">
        <v>2</v>
      </c>
    </row>
    <row r="904" spans="1:23" ht="15.75" customHeight="1" x14ac:dyDescent="0.35">
      <c r="A904" s="2" t="s">
        <v>23</v>
      </c>
      <c r="L904" s="2">
        <v>122</v>
      </c>
      <c r="M904" s="2" t="s">
        <v>232</v>
      </c>
      <c r="O904" s="2" t="s">
        <v>1993</v>
      </c>
      <c r="P904" s="2" t="str">
        <f ca="1">IFERROR(__xludf.DUMMYFUNCTION("GOOGLETRANSLATE(O904,""en"",""bn"")"),"সোমনাথ পাত্র")</f>
        <v>সোমনাথ পাত্র</v>
      </c>
      <c r="Q904" s="2" t="s">
        <v>1322</v>
      </c>
      <c r="S904" s="2" t="s">
        <v>1322</v>
      </c>
      <c r="V904" s="2" t="s">
        <v>1994</v>
      </c>
      <c r="W904" s="2">
        <v>2</v>
      </c>
    </row>
    <row r="905" spans="1:23" ht="15.75" customHeight="1" x14ac:dyDescent="0.35">
      <c r="A905" s="2" t="s">
        <v>23</v>
      </c>
      <c r="L905" s="2">
        <v>129</v>
      </c>
      <c r="M905" s="2" t="s">
        <v>24</v>
      </c>
      <c r="O905" s="2" t="s">
        <v>1995</v>
      </c>
      <c r="P905" s="2" t="str">
        <f ca="1">IFERROR(__xludf.DUMMYFUNCTION("GOOGLETRANSLATE(O905,""en"",""bn"")"),"শঙ্কর নস্কর")</f>
        <v>শঙ্কর নস্কর</v>
      </c>
      <c r="Q905" s="2" t="s">
        <v>92</v>
      </c>
      <c r="S905" s="2" t="s">
        <v>92</v>
      </c>
      <c r="V905" s="2" t="s">
        <v>1996</v>
      </c>
      <c r="W905" s="2">
        <v>2</v>
      </c>
    </row>
    <row r="906" spans="1:23" ht="15.75" customHeight="1" x14ac:dyDescent="0.35">
      <c r="A906" s="2" t="s">
        <v>23</v>
      </c>
      <c r="L906" s="2">
        <v>172</v>
      </c>
      <c r="M906" s="2" t="s">
        <v>28</v>
      </c>
      <c r="O906" s="2" t="s">
        <v>1997</v>
      </c>
      <c r="P906" s="2" t="str">
        <f ca="1">IFERROR(__xludf.DUMMYFUNCTION("GOOGLETRANSLATE(O906,""en"",""bn"")"),"অভিষেক মন্ডল")</f>
        <v>অভিষেক মন্ডল</v>
      </c>
      <c r="Q906" s="2" t="s">
        <v>1322</v>
      </c>
      <c r="S906" s="2" t="s">
        <v>1322</v>
      </c>
      <c r="V906" s="2" t="s">
        <v>1998</v>
      </c>
      <c r="W906" s="2">
        <v>2</v>
      </c>
    </row>
    <row r="907" spans="1:23" ht="15.75" customHeight="1" x14ac:dyDescent="0.35">
      <c r="A907" s="2" t="s">
        <v>23</v>
      </c>
      <c r="L907" s="2">
        <v>198</v>
      </c>
      <c r="M907" s="2" t="s">
        <v>381</v>
      </c>
      <c r="O907" s="2" t="s">
        <v>1999</v>
      </c>
      <c r="P907" s="2" t="str">
        <f ca="1">IFERROR(__xludf.DUMMYFUNCTION("GOOGLETRANSLATE(O907,""en"",""bn"")"),"আস্তিকমনি মালিক")</f>
        <v>আস্তিকমনি মালিক</v>
      </c>
      <c r="Q907" s="2" t="s">
        <v>1322</v>
      </c>
      <c r="S907" s="2" t="s">
        <v>1322</v>
      </c>
      <c r="V907" s="2" t="s">
        <v>2000</v>
      </c>
      <c r="W907" s="2">
        <v>2</v>
      </c>
    </row>
    <row r="908" spans="1:23" ht="15.75" customHeight="1" x14ac:dyDescent="0.35">
      <c r="A908" s="2" t="s">
        <v>23</v>
      </c>
      <c r="L908" s="2">
        <v>126</v>
      </c>
      <c r="M908" s="2" t="s">
        <v>133</v>
      </c>
      <c r="O908" s="2" t="s">
        <v>2001</v>
      </c>
      <c r="P908" s="2" t="str">
        <f ca="1">IFERROR(__xludf.DUMMYFUNCTION("GOOGLETRANSLATE(O908,""en"",""bn"")"),"বিদ্যুৎ গায়েন")</f>
        <v>বিদ্যুৎ গায়েন</v>
      </c>
      <c r="Q908" s="2" t="s">
        <v>1322</v>
      </c>
      <c r="S908" s="2" t="s">
        <v>1322</v>
      </c>
      <c r="V908" s="2" t="s">
        <v>2002</v>
      </c>
      <c r="W908" s="2">
        <v>2</v>
      </c>
    </row>
    <row r="909" spans="1:23" ht="15.75" customHeight="1" x14ac:dyDescent="0.35">
      <c r="A909" s="2" t="s">
        <v>23</v>
      </c>
      <c r="L909" s="2">
        <v>272</v>
      </c>
      <c r="M909" s="2" t="s">
        <v>357</v>
      </c>
      <c r="O909" s="2" t="s">
        <v>2003</v>
      </c>
      <c r="P909" s="2" t="str">
        <f ca="1">IFERROR(__xludf.DUMMYFUNCTION("GOOGLETRANSLATE(O909,""en"",""bn"")"),"এসকে মোজাম্মেল সামাদ")</f>
        <v>এসকে মোজাম্মেল সামাদ</v>
      </c>
      <c r="Q909" s="2" t="s">
        <v>1370</v>
      </c>
      <c r="S909" s="2" t="s">
        <v>1370</v>
      </c>
      <c r="V909" s="2" t="s">
        <v>2004</v>
      </c>
      <c r="W909" s="2">
        <v>2</v>
      </c>
    </row>
    <row r="910" spans="1:23" ht="15.75" customHeight="1" x14ac:dyDescent="0.35">
      <c r="A910" s="2" t="s">
        <v>23</v>
      </c>
      <c r="L910" s="2">
        <v>193</v>
      </c>
      <c r="M910" s="2" t="s">
        <v>118</v>
      </c>
      <c r="O910" s="2" t="s">
        <v>2005</v>
      </c>
      <c r="P910" s="2" t="str">
        <f ca="1">IFERROR(__xludf.DUMMYFUNCTION("GOOGLETRANSLATE(O910,""en"",""bn"")"),"চুঙ্কু টুডু")</f>
        <v>চুঙ্কু টুডু</v>
      </c>
      <c r="Q910" s="2" t="s">
        <v>1322</v>
      </c>
      <c r="S910" s="2" t="s">
        <v>1322</v>
      </c>
      <c r="V910" s="2" t="s">
        <v>2006</v>
      </c>
      <c r="W910" s="2">
        <v>2</v>
      </c>
    </row>
    <row r="911" spans="1:23" ht="15.75" customHeight="1" x14ac:dyDescent="0.35">
      <c r="A911" s="2" t="s">
        <v>23</v>
      </c>
      <c r="L911" s="2">
        <v>263</v>
      </c>
      <c r="M911" s="2" t="s">
        <v>78</v>
      </c>
      <c r="O911" s="2" t="s">
        <v>2007</v>
      </c>
      <c r="P911" s="2" t="str">
        <f ca="1">IFERROR(__xludf.DUMMYFUNCTION("GOOGLETRANSLATE(O911,""en"",""bn"")"),"সাইকাত ধানি")</f>
        <v>সাইকাত ধানি</v>
      </c>
      <c r="Q911" s="2" t="s">
        <v>1322</v>
      </c>
      <c r="S911" s="2" t="s">
        <v>1322</v>
      </c>
      <c r="V911" s="2" t="s">
        <v>2008</v>
      </c>
      <c r="W911" s="2">
        <v>2</v>
      </c>
    </row>
    <row r="912" spans="1:23" ht="15.75" customHeight="1" x14ac:dyDescent="0.35">
      <c r="A912" s="2" t="s">
        <v>23</v>
      </c>
      <c r="L912" s="2">
        <v>81</v>
      </c>
      <c r="M912" s="2" t="s">
        <v>217</v>
      </c>
      <c r="O912" s="2" t="s">
        <v>2009</v>
      </c>
      <c r="P912" s="2" t="str">
        <f ca="1">IFERROR(__xludf.DUMMYFUNCTION("GOOGLETRANSLATE(O912,""en"",""bn"")"),"মাসিকুর রহমান খান")</f>
        <v>মাসিকুর রহমান খান</v>
      </c>
      <c r="Q912" s="2" t="s">
        <v>92</v>
      </c>
      <c r="S912" s="2" t="s">
        <v>92</v>
      </c>
      <c r="V912" s="2" t="s">
        <v>2010</v>
      </c>
      <c r="W912" s="2">
        <v>2</v>
      </c>
    </row>
    <row r="913" spans="1:23" ht="15.75" customHeight="1" x14ac:dyDescent="0.35">
      <c r="A913" s="2" t="s">
        <v>23</v>
      </c>
      <c r="L913" s="2">
        <v>150</v>
      </c>
      <c r="M913" s="2" t="s">
        <v>181</v>
      </c>
      <c r="O913" s="2" t="s">
        <v>2011</v>
      </c>
      <c r="P913" s="2" t="str">
        <f ca="1">IFERROR(__xludf.DUMMYFUNCTION("GOOGLETRANSLATE(O913,""en"",""bn"")"),"গৌতম গোস্বামী")</f>
        <v>গৌতম গোস্বামী</v>
      </c>
      <c r="Q913" s="2" t="s">
        <v>1322</v>
      </c>
      <c r="S913" s="2" t="s">
        <v>1322</v>
      </c>
      <c r="V913" s="2" t="s">
        <v>2012</v>
      </c>
      <c r="W913" s="2">
        <v>2</v>
      </c>
    </row>
    <row r="914" spans="1:23" ht="15.75" customHeight="1" x14ac:dyDescent="0.35">
      <c r="A914" s="2" t="s">
        <v>23</v>
      </c>
      <c r="L914" s="2">
        <v>91</v>
      </c>
      <c r="M914" s="2" t="s">
        <v>211</v>
      </c>
      <c r="O914" s="2" t="s">
        <v>2013</v>
      </c>
      <c r="P914" s="2" t="str">
        <f ca="1">IFERROR(__xludf.DUMMYFUNCTION("GOOGLETRANSLATE(O914,""en"",""bn"")"),"বিধান ঘোষ")</f>
        <v>বিধান ঘোষ</v>
      </c>
      <c r="Q914" s="2" t="s">
        <v>1433</v>
      </c>
      <c r="S914" s="2" t="s">
        <v>1433</v>
      </c>
      <c r="V914" s="2" t="s">
        <v>2014</v>
      </c>
      <c r="W914" s="2">
        <v>2</v>
      </c>
    </row>
    <row r="915" spans="1:23" ht="15.75" customHeight="1" x14ac:dyDescent="0.35">
      <c r="A915" s="2" t="s">
        <v>23</v>
      </c>
      <c r="L915" s="2">
        <v>181</v>
      </c>
      <c r="M915" s="2" t="s">
        <v>193</v>
      </c>
      <c r="O915" s="2" t="s">
        <v>2015</v>
      </c>
      <c r="P915" s="2" t="str">
        <f ca="1">IFERROR(__xludf.DUMMYFUNCTION("GOOGLETRANSLATE(O915,""en"",""bn"")"),"অভিজিৎ শো")</f>
        <v>অভিজিৎ শো</v>
      </c>
      <c r="Q915" s="2" t="s">
        <v>1322</v>
      </c>
      <c r="S915" s="2" t="s">
        <v>1322</v>
      </c>
      <c r="V915" s="2" t="s">
        <v>2016</v>
      </c>
      <c r="W915" s="2">
        <v>2</v>
      </c>
    </row>
    <row r="916" spans="1:23" ht="15.75" customHeight="1" x14ac:dyDescent="0.35">
      <c r="A916" s="2" t="s">
        <v>23</v>
      </c>
      <c r="L916" s="2">
        <v>132</v>
      </c>
      <c r="M916" s="2" t="s">
        <v>220</v>
      </c>
      <c r="O916" s="2" t="s">
        <v>2017</v>
      </c>
      <c r="P916" s="2" t="str">
        <f ca="1">IFERROR(__xludf.DUMMYFUNCTION("GOOGLETRANSLATE(O916,""en"",""bn"")"),"কানাই মন্ডল")</f>
        <v>কানাই মন্ডল</v>
      </c>
      <c r="Q916" s="2" t="s">
        <v>2018</v>
      </c>
      <c r="S916" s="2" t="s">
        <v>2018</v>
      </c>
      <c r="V916" s="2" t="s">
        <v>2019</v>
      </c>
      <c r="W916" s="2">
        <v>2</v>
      </c>
    </row>
    <row r="917" spans="1:23" ht="15.75" customHeight="1" x14ac:dyDescent="0.35">
      <c r="A917" s="2" t="s">
        <v>23</v>
      </c>
      <c r="L917" s="2">
        <v>113</v>
      </c>
      <c r="M917" s="2" t="s">
        <v>399</v>
      </c>
      <c r="O917" s="2" t="s">
        <v>2020</v>
      </c>
      <c r="P917" s="2" t="str">
        <f ca="1">IFERROR(__xludf.DUMMYFUNCTION("GOOGLETRANSLATE(O917,""en"",""bn"")"),"প্রসেনজিৎ দে")</f>
        <v>প্রসেনজিৎ দে</v>
      </c>
      <c r="Q917" s="2" t="s">
        <v>1322</v>
      </c>
      <c r="S917" s="2" t="s">
        <v>1322</v>
      </c>
      <c r="V917" s="2" t="s">
        <v>2021</v>
      </c>
      <c r="W917" s="2">
        <v>2</v>
      </c>
    </row>
    <row r="918" spans="1:23" ht="15.75" customHeight="1" x14ac:dyDescent="0.35">
      <c r="A918" s="2" t="s">
        <v>23</v>
      </c>
      <c r="L918" s="2">
        <v>143</v>
      </c>
      <c r="M918" s="2" t="s">
        <v>163</v>
      </c>
      <c r="O918" s="2" t="s">
        <v>2022</v>
      </c>
      <c r="P918" s="2" t="str">
        <f ca="1">IFERROR(__xludf.DUMMYFUNCTION("GOOGLETRANSLATE(O918,""en"",""bn"")"),"গৌতম কুমার হালদার")</f>
        <v>গৌতম কুমার হালদার</v>
      </c>
      <c r="Q918" s="2" t="s">
        <v>1322</v>
      </c>
      <c r="S918" s="2" t="s">
        <v>1322</v>
      </c>
      <c r="V918" s="2" t="s">
        <v>2023</v>
      </c>
      <c r="W918" s="2">
        <v>2</v>
      </c>
    </row>
    <row r="919" spans="1:23" ht="15.75" customHeight="1" x14ac:dyDescent="0.35">
      <c r="A919" s="2" t="s">
        <v>23</v>
      </c>
      <c r="L919" s="2">
        <v>121</v>
      </c>
      <c r="M919" s="2" t="s">
        <v>348</v>
      </c>
      <c r="O919" s="2" t="s">
        <v>2024</v>
      </c>
      <c r="P919" s="2" t="str">
        <f ca="1">IFERROR(__xludf.DUMMYFUNCTION("GOOGLETRANSLATE(O919,""en"",""bn"")"),"পিয়ারুল সানপুই")</f>
        <v>পিয়ারুল সানপুই</v>
      </c>
      <c r="Q919" s="2" t="s">
        <v>1322</v>
      </c>
      <c r="S919" s="2" t="s">
        <v>1322</v>
      </c>
      <c r="V919" s="2" t="s">
        <v>2025</v>
      </c>
      <c r="W919" s="2">
        <v>2</v>
      </c>
    </row>
    <row r="920" spans="1:23" ht="15.75" customHeight="1" x14ac:dyDescent="0.35">
      <c r="A920" s="2" t="s">
        <v>23</v>
      </c>
      <c r="L920" s="2">
        <v>151</v>
      </c>
      <c r="M920" s="2" t="s">
        <v>81</v>
      </c>
      <c r="O920" s="2" t="s">
        <v>2026</v>
      </c>
      <c r="P920" s="2" t="str">
        <f ca="1">IFERROR(__xludf.DUMMYFUNCTION("GOOGLETRANSLATE(O920,""en"",""bn"")"),"অরূপ মন্ডল")</f>
        <v>অরূপ মন্ডল</v>
      </c>
      <c r="Q920" s="2" t="s">
        <v>1322</v>
      </c>
      <c r="S920" s="2" t="s">
        <v>1322</v>
      </c>
      <c r="V920" s="2" t="s">
        <v>2027</v>
      </c>
      <c r="W920" s="2">
        <v>2</v>
      </c>
    </row>
    <row r="921" spans="1:23" ht="15.75" customHeight="1" x14ac:dyDescent="0.35">
      <c r="A921" s="2" t="s">
        <v>23</v>
      </c>
      <c r="L921" s="2">
        <v>106</v>
      </c>
      <c r="M921" s="2" t="s">
        <v>283</v>
      </c>
      <c r="O921" s="2" t="s">
        <v>2028</v>
      </c>
      <c r="P921" s="2" t="str">
        <f ca="1">IFERROR(__xludf.DUMMYFUNCTION("GOOGLETRANSLATE(O921,""en"",""bn"")"),"শেও প্রসাদ তিওয়ারি")</f>
        <v>শেও প্রসাদ তিওয়ারি</v>
      </c>
      <c r="Q921" s="2" t="s">
        <v>2029</v>
      </c>
      <c r="S921" s="2" t="s">
        <v>2029</v>
      </c>
      <c r="V921" s="2" t="s">
        <v>2030</v>
      </c>
      <c r="W921" s="2">
        <v>2</v>
      </c>
    </row>
    <row r="922" spans="1:23" ht="15.75" customHeight="1" x14ac:dyDescent="0.35">
      <c r="A922" s="2" t="s">
        <v>23</v>
      </c>
      <c r="L922" s="2">
        <v>196</v>
      </c>
      <c r="M922" s="2" t="s">
        <v>148</v>
      </c>
      <c r="O922" s="2" t="s">
        <v>2031</v>
      </c>
      <c r="P922" s="2" t="str">
        <f ca="1">IFERROR(__xludf.DUMMYFUNCTION("GOOGLETRANSLATE(O922,""en"",""bn"")"),"মধুমিতা ঘোষ W/O পলাশ ঘোষ")</f>
        <v>মধুমিতা ঘোষ W/O পলাশ ঘোষ</v>
      </c>
      <c r="Q922" s="2" t="s">
        <v>1322</v>
      </c>
      <c r="S922" s="2" t="s">
        <v>1322</v>
      </c>
      <c r="V922" s="2" t="s">
        <v>2032</v>
      </c>
      <c r="W922" s="2">
        <v>2</v>
      </c>
    </row>
    <row r="923" spans="1:23" ht="15.75" customHeight="1" x14ac:dyDescent="0.35">
      <c r="A923" s="2" t="s">
        <v>23</v>
      </c>
      <c r="L923" s="2">
        <v>134</v>
      </c>
      <c r="M923" s="2" t="s">
        <v>274</v>
      </c>
      <c r="O923" s="2" t="s">
        <v>2033</v>
      </c>
      <c r="P923" s="2" t="str">
        <f ca="1">IFERROR(__xludf.DUMMYFUNCTION("GOOGLETRANSLATE(O923,""en"",""bn"")"),"এমডি মাসুদ বিল্লাহ মোল্লা")</f>
        <v>এমডি মাসুদ বিল্লাহ মোল্লা</v>
      </c>
      <c r="Q923" s="2" t="s">
        <v>1109</v>
      </c>
      <c r="S923" s="2" t="s">
        <v>1109</v>
      </c>
      <c r="V923" s="2" t="s">
        <v>2034</v>
      </c>
      <c r="W923" s="2">
        <v>2</v>
      </c>
    </row>
    <row r="924" spans="1:23" ht="15.75" customHeight="1" x14ac:dyDescent="0.35">
      <c r="A924" s="2" t="s">
        <v>23</v>
      </c>
      <c r="L924" s="2">
        <v>98</v>
      </c>
      <c r="M924" s="2" t="s">
        <v>115</v>
      </c>
      <c r="O924" s="2" t="s">
        <v>2035</v>
      </c>
      <c r="P924" s="2" t="str">
        <f ca="1">IFERROR(__xludf.DUMMYFUNCTION("GOOGLETRANSLATE(O924,""en"",""bn"")"),"বিদ্যুৎ মন্ডল")</f>
        <v>বিদ্যুৎ মন্ডল</v>
      </c>
      <c r="Q924" s="2" t="s">
        <v>1322</v>
      </c>
      <c r="S924" s="2" t="s">
        <v>1322</v>
      </c>
      <c r="V924" s="2" t="s">
        <v>2036</v>
      </c>
      <c r="W924" s="2">
        <v>2</v>
      </c>
    </row>
    <row r="925" spans="1:23" ht="15.75" customHeight="1" x14ac:dyDescent="0.35">
      <c r="A925" s="2" t="s">
        <v>23</v>
      </c>
      <c r="L925" s="2">
        <v>108</v>
      </c>
      <c r="M925" s="2" t="s">
        <v>441</v>
      </c>
      <c r="O925" s="2" t="s">
        <v>2037</v>
      </c>
      <c r="P925" s="2" t="str">
        <f ca="1">IFERROR(__xludf.DUMMYFUNCTION("GOOGLETRANSLATE(O925,""en"",""bn"")"),"রাজদীপ রায়")</f>
        <v>রাজদীপ রায়</v>
      </c>
      <c r="Q925" s="2" t="s">
        <v>1322</v>
      </c>
      <c r="S925" s="2" t="s">
        <v>1322</v>
      </c>
      <c r="V925" s="2" t="s">
        <v>2038</v>
      </c>
      <c r="W925" s="2">
        <v>2</v>
      </c>
    </row>
    <row r="926" spans="1:23" ht="15.75" customHeight="1" x14ac:dyDescent="0.35">
      <c r="A926" s="2" t="s">
        <v>23</v>
      </c>
      <c r="L926" s="2">
        <v>261</v>
      </c>
      <c r="M926" s="2" t="s">
        <v>184</v>
      </c>
      <c r="O926" s="2" t="s">
        <v>2039</v>
      </c>
      <c r="P926" s="2" t="str">
        <f ca="1">IFERROR(__xludf.DUMMYFUNCTION("GOOGLETRANSLATE(O926,""en"",""bn"")"),"শিউলি সিং")</f>
        <v>শিউলি সিং</v>
      </c>
      <c r="Q926" s="2" t="s">
        <v>1322</v>
      </c>
      <c r="S926" s="2" t="s">
        <v>1322</v>
      </c>
      <c r="V926" s="2" t="s">
        <v>2040</v>
      </c>
      <c r="W926" s="2">
        <v>2</v>
      </c>
    </row>
    <row r="927" spans="1:23" ht="15.75" customHeight="1" x14ac:dyDescent="0.35">
      <c r="A927" s="2" t="s">
        <v>23</v>
      </c>
      <c r="L927" s="2">
        <v>167</v>
      </c>
      <c r="M927" s="2" t="s">
        <v>109</v>
      </c>
      <c r="O927" s="2" t="s">
        <v>2041</v>
      </c>
      <c r="P927" s="2" t="str">
        <f ca="1">IFERROR(__xludf.DUMMYFUNCTION("GOOGLETRANSLATE(O927,""en"",""bn"")"),"সুবীর সামান্তা")</f>
        <v>সুবীর সামান্তা</v>
      </c>
      <c r="Q927" s="2" t="s">
        <v>92</v>
      </c>
      <c r="S927" s="2" t="s">
        <v>92</v>
      </c>
      <c r="V927" s="2" t="s">
        <v>2042</v>
      </c>
      <c r="W927" s="2">
        <v>2</v>
      </c>
    </row>
    <row r="928" spans="1:23" ht="15.75" customHeight="1" x14ac:dyDescent="0.35">
      <c r="A928" s="2" t="s">
        <v>23</v>
      </c>
      <c r="L928" s="2">
        <v>169</v>
      </c>
      <c r="M928" s="2" t="s">
        <v>90</v>
      </c>
      <c r="O928" s="2" t="s">
        <v>1416</v>
      </c>
      <c r="P928" s="2" t="str">
        <f ca="1">IFERROR(__xludf.DUMMYFUNCTION("GOOGLETRANSLATE(O928,""en"",""bn"")"),"সঞ্জয় সিং")</f>
        <v>সঞ্জয় সিং</v>
      </c>
      <c r="Q928" s="2" t="s">
        <v>1322</v>
      </c>
      <c r="S928" s="2" t="s">
        <v>1322</v>
      </c>
      <c r="V928" s="2" t="s">
        <v>2043</v>
      </c>
      <c r="W928" s="2">
        <v>2</v>
      </c>
    </row>
    <row r="929" spans="1:23" ht="15.75" customHeight="1" x14ac:dyDescent="0.35">
      <c r="A929" s="2" t="s">
        <v>23</v>
      </c>
      <c r="L929" s="2">
        <v>87</v>
      </c>
      <c r="M929" s="2" t="s">
        <v>351</v>
      </c>
      <c r="O929" s="2" t="s">
        <v>2044</v>
      </c>
      <c r="P929" s="2" t="str">
        <f ca="1">IFERROR(__xludf.DUMMYFUNCTION("GOOGLETRANSLATE(O929,""en"",""bn"")"),"গোপাল বিশ্বাস")</f>
        <v>গোপাল বিশ্বাস</v>
      </c>
      <c r="Q929" s="2" t="s">
        <v>1322</v>
      </c>
      <c r="S929" s="2" t="s">
        <v>1322</v>
      </c>
      <c r="V929" s="2" t="s">
        <v>2045</v>
      </c>
      <c r="W929" s="2">
        <v>2</v>
      </c>
    </row>
    <row r="930" spans="1:23" ht="15.75" customHeight="1" x14ac:dyDescent="0.35">
      <c r="A930" s="2" t="s">
        <v>23</v>
      </c>
      <c r="L930" s="2">
        <v>84</v>
      </c>
      <c r="M930" s="2" t="s">
        <v>297</v>
      </c>
      <c r="O930" s="2" t="s">
        <v>2046</v>
      </c>
      <c r="P930" s="2" t="str">
        <f ca="1">IFERROR(__xludf.DUMMYFUNCTION("GOOGLETRANSLATE(O930,""en"",""bn"")"),"নানিগোপাল দেবনাথ")</f>
        <v>নানিগোপাল দেবনাথ</v>
      </c>
      <c r="Q930" s="2" t="s">
        <v>1322</v>
      </c>
      <c r="S930" s="2" t="s">
        <v>1322</v>
      </c>
      <c r="V930" s="2" t="s">
        <v>2047</v>
      </c>
      <c r="W930" s="2">
        <v>2</v>
      </c>
    </row>
    <row r="931" spans="1:23" ht="15.75" customHeight="1" x14ac:dyDescent="0.35">
      <c r="A931" s="2" t="s">
        <v>23</v>
      </c>
      <c r="L931" s="2">
        <v>175</v>
      </c>
      <c r="M931" s="2" t="s">
        <v>330</v>
      </c>
      <c r="O931" s="2" t="s">
        <v>2048</v>
      </c>
      <c r="P931" s="2" t="str">
        <f ca="1">IFERROR(__xludf.DUMMYFUNCTION("GOOGLETRANSLATE(O931,""en"",""bn"")"),"সুজিত খান")</f>
        <v>সুজিত খান</v>
      </c>
      <c r="Q931" s="2" t="s">
        <v>1322</v>
      </c>
      <c r="S931" s="2" t="s">
        <v>1322</v>
      </c>
      <c r="V931" s="2" t="s">
        <v>2049</v>
      </c>
      <c r="W931" s="2">
        <v>2</v>
      </c>
    </row>
    <row r="932" spans="1:23" ht="15.75" customHeight="1" x14ac:dyDescent="0.35">
      <c r="A932" s="2" t="s">
        <v>23</v>
      </c>
      <c r="L932" s="2">
        <v>102</v>
      </c>
      <c r="M932" s="2" t="s">
        <v>169</v>
      </c>
      <c r="O932" s="2" t="s">
        <v>2050</v>
      </c>
      <c r="P932" s="2" t="str">
        <f ca="1">IFERROR(__xludf.DUMMYFUNCTION("GOOGLETRANSLATE(O932,""en"",""bn"")"),"গোলাম মোঃ নিজামুদ্দিন")</f>
        <v>গোলাম মোঃ নিজামুদ্দিন</v>
      </c>
      <c r="Q932" s="2" t="s">
        <v>1109</v>
      </c>
      <c r="S932" s="2" t="s">
        <v>1109</v>
      </c>
      <c r="V932" s="2" t="s">
        <v>2051</v>
      </c>
      <c r="W932" s="2">
        <v>2</v>
      </c>
    </row>
    <row r="933" spans="1:23" ht="15.75" customHeight="1" x14ac:dyDescent="0.35">
      <c r="A933" s="2" t="s">
        <v>23</v>
      </c>
      <c r="L933" s="2">
        <v>89</v>
      </c>
      <c r="M933" s="2" t="s">
        <v>426</v>
      </c>
      <c r="O933" s="2" t="s">
        <v>2052</v>
      </c>
      <c r="P933" s="2" t="str">
        <f ca="1">IFERROR(__xludf.DUMMYFUNCTION("GOOGLETRANSLATE(O933,""en"",""bn"")"),"আসিম বিশ্বাস")</f>
        <v>আসিম বিশ্বাস</v>
      </c>
      <c r="Q933" s="2" t="s">
        <v>1322</v>
      </c>
      <c r="S933" s="2" t="s">
        <v>1322</v>
      </c>
      <c r="V933" s="2" t="s">
        <v>2053</v>
      </c>
      <c r="W933" s="2">
        <v>2</v>
      </c>
    </row>
    <row r="934" spans="1:23" ht="15.75" customHeight="1" x14ac:dyDescent="0.35">
      <c r="A934" s="2" t="s">
        <v>23</v>
      </c>
      <c r="L934" s="2">
        <v>265</v>
      </c>
      <c r="M934" s="2" t="s">
        <v>420</v>
      </c>
      <c r="O934" s="2" t="s">
        <v>2054</v>
      </c>
      <c r="P934" s="2" t="str">
        <f ca="1">IFERROR(__xludf.DUMMYFUNCTION("GOOGLETRANSLATE(O934,""en"",""bn"")"),"বিকাশ চন্দ্র দাস")</f>
        <v>বিকাশ চন্দ্র দাস</v>
      </c>
      <c r="Q934" s="2" t="s">
        <v>1322</v>
      </c>
      <c r="S934" s="2" t="s">
        <v>1322</v>
      </c>
      <c r="V934" s="2" t="s">
        <v>2055</v>
      </c>
      <c r="W934" s="2">
        <v>2</v>
      </c>
    </row>
    <row r="935" spans="1:23" ht="15.75" customHeight="1" x14ac:dyDescent="0.35">
      <c r="A935" s="2" t="s">
        <v>23</v>
      </c>
      <c r="L935" s="2">
        <v>154</v>
      </c>
      <c r="M935" s="2" t="s">
        <v>136</v>
      </c>
      <c r="O935" s="2" t="s">
        <v>2056</v>
      </c>
      <c r="P935" s="2" t="str">
        <f ca="1">IFERROR(__xludf.DUMMYFUNCTION("GOOGLETRANSLATE(O935,""en"",""bn"")"),"স্বরূপ চট্টোপাধ্যায়")</f>
        <v>স্বরূপ চট্টোপাধ্যায়</v>
      </c>
      <c r="Q935" s="2" t="s">
        <v>1109</v>
      </c>
      <c r="S935" s="2" t="s">
        <v>1109</v>
      </c>
      <c r="V935" s="2" t="s">
        <v>2057</v>
      </c>
      <c r="W935" s="2">
        <v>2</v>
      </c>
    </row>
    <row r="936" spans="1:23" ht="15.75" customHeight="1" x14ac:dyDescent="0.35">
      <c r="A936" s="2" t="s">
        <v>23</v>
      </c>
      <c r="L936" s="2">
        <v>146</v>
      </c>
      <c r="M936" s="2" t="s">
        <v>75</v>
      </c>
      <c r="O936" s="2" t="s">
        <v>2058</v>
      </c>
      <c r="P936" s="2" t="str">
        <f ca="1">IFERROR(__xludf.DUMMYFUNCTION("GOOGLETRANSLATE(O936,""en"",""bn"")"),"পূর্ণেন্দু নস্কর")</f>
        <v>পূর্ণেন্দু নস্কর</v>
      </c>
      <c r="Q936" s="2" t="s">
        <v>1322</v>
      </c>
      <c r="S936" s="2" t="s">
        <v>1322</v>
      </c>
      <c r="V936" s="2" t="s">
        <v>2059</v>
      </c>
      <c r="W936" s="2">
        <v>2</v>
      </c>
    </row>
    <row r="937" spans="1:23" ht="15.75" customHeight="1" x14ac:dyDescent="0.35">
      <c r="A937" s="2" t="s">
        <v>23</v>
      </c>
      <c r="L937" s="2">
        <v>95</v>
      </c>
      <c r="M937" s="2" t="s">
        <v>142</v>
      </c>
      <c r="O937" s="2" t="s">
        <v>2060</v>
      </c>
      <c r="P937" s="2" t="str">
        <f ca="1">IFERROR(__xludf.DUMMYFUNCTION("GOOGLETRANSLATE(O937,""en"",""bn"")"),"শ্যামসুন্দর হালদার")</f>
        <v>শ্যামসুন্দর হালদার</v>
      </c>
      <c r="Q937" s="2" t="s">
        <v>92</v>
      </c>
      <c r="S937" s="2" t="s">
        <v>92</v>
      </c>
      <c r="V937" s="2" t="s">
        <v>2061</v>
      </c>
      <c r="W937" s="2">
        <v>2</v>
      </c>
    </row>
    <row r="938" spans="1:23" ht="15.75" customHeight="1" x14ac:dyDescent="0.35">
      <c r="A938" s="2" t="s">
        <v>23</v>
      </c>
      <c r="L938" s="2">
        <v>190</v>
      </c>
      <c r="M938" s="2" t="s">
        <v>300</v>
      </c>
      <c r="O938" s="2" t="s">
        <v>2062</v>
      </c>
      <c r="P938" s="2" t="str">
        <f ca="1">IFERROR(__xludf.DUMMYFUNCTION("GOOGLETRANSLATE(O938,""en"",""bn"")"),"জেসমিন বেগম")</f>
        <v>জেসমিন বেগম</v>
      </c>
      <c r="Q938" s="2" t="s">
        <v>1833</v>
      </c>
      <c r="S938" s="2" t="s">
        <v>1833</v>
      </c>
      <c r="V938" s="2" t="s">
        <v>2063</v>
      </c>
      <c r="W938" s="2">
        <v>2</v>
      </c>
    </row>
    <row r="939" spans="1:23" ht="15.75" customHeight="1" x14ac:dyDescent="0.35">
      <c r="A939" s="2" t="s">
        <v>23</v>
      </c>
      <c r="L939" s="2">
        <v>186</v>
      </c>
      <c r="M939" s="2" t="s">
        <v>250</v>
      </c>
      <c r="O939" s="2" t="s">
        <v>2064</v>
      </c>
      <c r="P939" s="2" t="str">
        <f ca="1">IFERROR(__xludf.DUMMYFUNCTION("GOOGLETRANSLATE(O939,""en"",""bn"")"),"ভাস্কর ভট্টাচার্য")</f>
        <v>ভাস্কর ভট্টাচার্য</v>
      </c>
      <c r="Q939" s="2" t="s">
        <v>1322</v>
      </c>
      <c r="S939" s="2" t="s">
        <v>1322</v>
      </c>
      <c r="V939" s="2" t="s">
        <v>2065</v>
      </c>
      <c r="W939" s="2">
        <v>2</v>
      </c>
    </row>
    <row r="940" spans="1:23" ht="15.75" customHeight="1" x14ac:dyDescent="0.35">
      <c r="A940" s="2" t="s">
        <v>23</v>
      </c>
      <c r="L940" s="2">
        <v>94</v>
      </c>
      <c r="M940" s="2" t="s">
        <v>253</v>
      </c>
      <c r="O940" s="2" t="s">
        <v>2066</v>
      </c>
      <c r="P940" s="2" t="str">
        <f ca="1">IFERROR(__xludf.DUMMYFUNCTION("GOOGLETRANSLATE(O940,""en"",""bn"")"),"কালিপদ বিশ্বাস")</f>
        <v>কালিপদ বিশ্বাস</v>
      </c>
      <c r="Q940" s="2" t="s">
        <v>1322</v>
      </c>
      <c r="S940" s="2" t="s">
        <v>1322</v>
      </c>
      <c r="V940" s="2" t="s">
        <v>2067</v>
      </c>
      <c r="W940" s="2">
        <v>2</v>
      </c>
    </row>
    <row r="941" spans="1:23" ht="15.75" customHeight="1" x14ac:dyDescent="0.35">
      <c r="A941" s="2" t="s">
        <v>23</v>
      </c>
      <c r="L941" s="2">
        <v>130</v>
      </c>
      <c r="M941" s="2" t="s">
        <v>447</v>
      </c>
      <c r="O941" s="2" t="s">
        <v>2068</v>
      </c>
      <c r="P941" s="2" t="str">
        <f ca="1">IFERROR(__xludf.DUMMYFUNCTION("GOOGLETRANSLATE(O941,""en"",""bn"")"),"পুলক নায়েক")</f>
        <v>পুলক নায়েক</v>
      </c>
      <c r="Q941" s="2" t="s">
        <v>1322</v>
      </c>
      <c r="S941" s="2" t="s">
        <v>1322</v>
      </c>
      <c r="V941" s="2" t="s">
        <v>2069</v>
      </c>
      <c r="W941" s="2">
        <v>2</v>
      </c>
    </row>
    <row r="942" spans="1:23" ht="15.75" customHeight="1" x14ac:dyDescent="0.35">
      <c r="A942" s="2" t="s">
        <v>23</v>
      </c>
      <c r="L942" s="2">
        <v>179</v>
      </c>
      <c r="M942" s="2" t="s">
        <v>435</v>
      </c>
      <c r="O942" s="2" t="s">
        <v>2070</v>
      </c>
      <c r="P942" s="2" t="str">
        <f ca="1">IFERROR(__xludf.DUMMYFUNCTION("GOOGLETRANSLATE(O942,""en"",""bn"")"),"দীপক কুমার মন্ডল")</f>
        <v>দীপক কুমার মন্ডল</v>
      </c>
      <c r="Q942" s="2" t="s">
        <v>1322</v>
      </c>
      <c r="S942" s="2" t="s">
        <v>1322</v>
      </c>
      <c r="V942" s="2" t="s">
        <v>2071</v>
      </c>
      <c r="W942" s="2">
        <v>2</v>
      </c>
    </row>
    <row r="943" spans="1:23" ht="15.75" customHeight="1" x14ac:dyDescent="0.35">
      <c r="A943" s="2" t="s">
        <v>23</v>
      </c>
      <c r="L943" s="2">
        <v>136</v>
      </c>
      <c r="M943" s="2" t="s">
        <v>43</v>
      </c>
      <c r="O943" s="2" t="s">
        <v>2072</v>
      </c>
      <c r="P943" s="2" t="str">
        <f ca="1">IFERROR(__xludf.DUMMYFUNCTION("GOOGLETRANSLATE(O943,""en"",""bn"")"),"রূপা সর্দার")</f>
        <v>রূপা সর্দার</v>
      </c>
      <c r="Q943" s="2" t="s">
        <v>1544</v>
      </c>
      <c r="S943" s="2" t="s">
        <v>1544</v>
      </c>
      <c r="V943" s="2" t="s">
        <v>2073</v>
      </c>
      <c r="W943" s="2">
        <v>2</v>
      </c>
    </row>
    <row r="944" spans="1:23" ht="15.75" customHeight="1" x14ac:dyDescent="0.35">
      <c r="A944" s="2" t="s">
        <v>23</v>
      </c>
      <c r="L944" s="2">
        <v>88</v>
      </c>
      <c r="M944" s="2" t="s">
        <v>306</v>
      </c>
      <c r="O944" s="2" t="s">
        <v>2074</v>
      </c>
      <c r="P944" s="2" t="str">
        <f ca="1">IFERROR(__xludf.DUMMYFUNCTION("GOOGLETRANSLATE(O944,""en"",""bn"")"),"সন্তোষ কুমার আধিকারিক")</f>
        <v>সন্তোষ কুমার আধিকারিক</v>
      </c>
      <c r="Q944" s="2" t="s">
        <v>2075</v>
      </c>
      <c r="S944" s="2" t="s">
        <v>2075</v>
      </c>
      <c r="V944" s="2" t="s">
        <v>2076</v>
      </c>
      <c r="W944" s="2">
        <v>2</v>
      </c>
    </row>
    <row r="945" spans="1:23" ht="15.75" customHeight="1" x14ac:dyDescent="0.35">
      <c r="A945" s="2" t="s">
        <v>23</v>
      </c>
      <c r="L945" s="2">
        <v>168</v>
      </c>
      <c r="M945" s="2" t="s">
        <v>100</v>
      </c>
      <c r="O945" s="2" t="s">
        <v>2077</v>
      </c>
      <c r="P945" s="2" t="str">
        <f ca="1">IFERROR(__xludf.DUMMYFUNCTION("GOOGLETRANSLATE(O945,""en"",""bn"")"),"নীলরতন নাইয়া")</f>
        <v>নীলরতন নাইয়া</v>
      </c>
      <c r="Q945" s="2" t="s">
        <v>92</v>
      </c>
      <c r="S945" s="2" t="s">
        <v>92</v>
      </c>
      <c r="V945" s="2" t="s">
        <v>2078</v>
      </c>
      <c r="W945" s="2">
        <v>2</v>
      </c>
    </row>
    <row r="946" spans="1:23" ht="15.75" customHeight="1" x14ac:dyDescent="0.35">
      <c r="A946" s="2" t="s">
        <v>23</v>
      </c>
      <c r="L946" s="2">
        <v>105</v>
      </c>
      <c r="M946" s="2" t="s">
        <v>342</v>
      </c>
      <c r="O946" s="2" t="s">
        <v>2079</v>
      </c>
      <c r="P946" s="2" t="str">
        <f ca="1">IFERROR(__xludf.DUMMYFUNCTION("GOOGLETRANSLATE(O946,""en"",""bn"")"),"আব্দুল্লাহ খান সাহেব")</f>
        <v>আব্দুল্লাহ খান সাহেব</v>
      </c>
      <c r="Q946" s="2" t="s">
        <v>1322</v>
      </c>
      <c r="S946" s="2" t="s">
        <v>1322</v>
      </c>
      <c r="V946" s="2" t="s">
        <v>2080</v>
      </c>
      <c r="W946" s="2">
        <v>2</v>
      </c>
    </row>
    <row r="947" spans="1:23" ht="15.75" customHeight="1" x14ac:dyDescent="0.35">
      <c r="A947" s="2" t="s">
        <v>23</v>
      </c>
      <c r="L947" s="2">
        <v>153</v>
      </c>
      <c r="M947" s="2" t="s">
        <v>345</v>
      </c>
      <c r="O947" s="2" t="s">
        <v>2081</v>
      </c>
      <c r="P947" s="2" t="str">
        <f ca="1">IFERROR(__xludf.DUMMYFUNCTION("GOOGLETRANSLATE(O947,""en"",""bn"")"),"অসীম চক্রবর্তী")</f>
        <v>অসীম চক্রবর্তী</v>
      </c>
      <c r="Q947" s="2" t="s">
        <v>1322</v>
      </c>
      <c r="S947" s="2" t="s">
        <v>1322</v>
      </c>
      <c r="V947" s="2" t="s">
        <v>2082</v>
      </c>
      <c r="W947" s="2">
        <v>2</v>
      </c>
    </row>
    <row r="948" spans="1:23" ht="15.75" customHeight="1" x14ac:dyDescent="0.35">
      <c r="A948" s="2" t="s">
        <v>23</v>
      </c>
      <c r="L948" s="2">
        <v>148</v>
      </c>
      <c r="M948" s="2" t="s">
        <v>408</v>
      </c>
      <c r="O948" s="2" t="s">
        <v>2083</v>
      </c>
      <c r="P948" s="2" t="str">
        <f ca="1">IFERROR(__xludf.DUMMYFUNCTION("GOOGLETRANSLATE(O948,""en"",""bn"")"),"সীমা ভট্টাচার্য")</f>
        <v>সীমা ভট্টাচার্য</v>
      </c>
      <c r="Q948" s="2" t="s">
        <v>1109</v>
      </c>
      <c r="S948" s="2" t="s">
        <v>1109</v>
      </c>
      <c r="V948" s="2" t="s">
        <v>2084</v>
      </c>
      <c r="W948" s="2">
        <v>2</v>
      </c>
    </row>
    <row r="949" spans="1:23" ht="15.75" customHeight="1" x14ac:dyDescent="0.35">
      <c r="A949" s="2" t="s">
        <v>23</v>
      </c>
      <c r="L949" s="2">
        <v>97</v>
      </c>
      <c r="M949" s="2" t="s">
        <v>423</v>
      </c>
      <c r="O949" s="2" t="s">
        <v>2085</v>
      </c>
      <c r="P949" s="2" t="str">
        <f ca="1">IFERROR(__xludf.DUMMYFUNCTION("GOOGLETRANSLATE(O949,""en"",""bn"")"),"চন্দন রায়")</f>
        <v>চন্দন রায়</v>
      </c>
      <c r="Q949" s="2" t="s">
        <v>1322</v>
      </c>
      <c r="S949" s="2" t="s">
        <v>1322</v>
      </c>
      <c r="V949" s="2" t="s">
        <v>2086</v>
      </c>
      <c r="W949" s="2">
        <v>2</v>
      </c>
    </row>
    <row r="950" spans="1:23" ht="15.75" customHeight="1" x14ac:dyDescent="0.35">
      <c r="A950" s="2" t="s">
        <v>23</v>
      </c>
      <c r="L950" s="2">
        <v>262</v>
      </c>
      <c r="M950" s="2" t="s">
        <v>417</v>
      </c>
      <c r="O950" s="2" t="s">
        <v>2087</v>
      </c>
      <c r="P950" s="2" t="str">
        <f ca="1">IFERROR(__xludf.DUMMYFUNCTION("GOOGLETRANSLATE(O950,""en"",""bn"")"),"বিশ্বজিৎ ব্যাগ")</f>
        <v>বিশ্বজিৎ ব্যাগ</v>
      </c>
      <c r="Q950" s="2" t="s">
        <v>1322</v>
      </c>
      <c r="S950" s="2" t="s">
        <v>1322</v>
      </c>
      <c r="V950" s="2" t="s">
        <v>2088</v>
      </c>
      <c r="W950" s="2">
        <v>2</v>
      </c>
    </row>
    <row r="951" spans="1:23" ht="15.75" customHeight="1" x14ac:dyDescent="0.35">
      <c r="A951" s="2" t="s">
        <v>23</v>
      </c>
      <c r="L951" s="2">
        <v>80</v>
      </c>
      <c r="M951" s="2" t="s">
        <v>175</v>
      </c>
      <c r="O951" s="2" t="s">
        <v>2089</v>
      </c>
      <c r="P951" s="2" t="str">
        <f ca="1">IFERROR(__xludf.DUMMYFUNCTION("GOOGLETRANSLATE(O951,""en"",""bn"")"),"কেছাবুদ্দিন শেখ")</f>
        <v>কেছাবুদ্দিন শেখ</v>
      </c>
      <c r="Q951" s="2" t="s">
        <v>1109</v>
      </c>
      <c r="S951" s="2" t="s">
        <v>1109</v>
      </c>
      <c r="V951" s="2" t="s">
        <v>2090</v>
      </c>
      <c r="W951" s="2">
        <v>2</v>
      </c>
    </row>
    <row r="952" spans="1:23" ht="15.75" customHeight="1" x14ac:dyDescent="0.35">
      <c r="A952" s="2" t="s">
        <v>23</v>
      </c>
      <c r="L952" s="2">
        <v>85</v>
      </c>
      <c r="M952" s="2" t="s">
        <v>387</v>
      </c>
      <c r="O952" s="2" t="s">
        <v>2091</v>
      </c>
      <c r="P952" s="2" t="str">
        <f ca="1">IFERROR(__xludf.DUMMYFUNCTION("GOOGLETRANSLATE(O952,""en"",""bn"")"),"আনন্দ মোদক")</f>
        <v>আনন্দ মোদক</v>
      </c>
      <c r="Q952" s="2" t="s">
        <v>1322</v>
      </c>
      <c r="S952" s="2" t="s">
        <v>1322</v>
      </c>
      <c r="V952" s="2" t="s">
        <v>2092</v>
      </c>
      <c r="W952" s="2">
        <v>2</v>
      </c>
    </row>
    <row r="953" spans="1:23" ht="15.75" customHeight="1" x14ac:dyDescent="0.35">
      <c r="A953" s="2" t="s">
        <v>23</v>
      </c>
      <c r="L953" s="2">
        <v>270</v>
      </c>
      <c r="M953" s="2" t="s">
        <v>315</v>
      </c>
      <c r="O953" s="2" t="s">
        <v>2093</v>
      </c>
      <c r="P953" s="2" t="str">
        <f ca="1">IFERROR(__xludf.DUMMYFUNCTION("GOOGLETRANSLATE(O953,""en"",""bn"")"),"রাহুল পাল")</f>
        <v>রাহুল পাল</v>
      </c>
      <c r="Q953" s="2" t="s">
        <v>2094</v>
      </c>
      <c r="S953" s="2" t="s">
        <v>2094</v>
      </c>
      <c r="V953" s="2" t="s">
        <v>2095</v>
      </c>
      <c r="W953" s="2">
        <v>2</v>
      </c>
    </row>
    <row r="954" spans="1:23" ht="15.75" customHeight="1" x14ac:dyDescent="0.35">
      <c r="A954" s="2" t="s">
        <v>23</v>
      </c>
      <c r="L954" s="2">
        <v>99</v>
      </c>
      <c r="M954" s="2" t="s">
        <v>268</v>
      </c>
      <c r="O954" s="2" t="s">
        <v>2096</v>
      </c>
      <c r="P954" s="2" t="str">
        <f ca="1">IFERROR(__xludf.DUMMYFUNCTION("GOOGLETRANSLATE(O954,""en"",""bn"")"),"নিতাইকৃষ্ণ পাল")</f>
        <v>নিতাইকৃষ্ণ পাল</v>
      </c>
      <c r="Q954" s="2" t="s">
        <v>92</v>
      </c>
      <c r="S954" s="2" t="s">
        <v>92</v>
      </c>
      <c r="V954" s="2" t="s">
        <v>2097</v>
      </c>
      <c r="W954" s="2">
        <v>2</v>
      </c>
    </row>
    <row r="955" spans="1:23" ht="15.75" customHeight="1" x14ac:dyDescent="0.35">
      <c r="A955" s="2" t="s">
        <v>23</v>
      </c>
      <c r="L955" s="2">
        <v>127</v>
      </c>
      <c r="M955" s="2" t="s">
        <v>289</v>
      </c>
      <c r="O955" s="2" t="s">
        <v>2098</v>
      </c>
      <c r="P955" s="2" t="str">
        <f ca="1">IFERROR(__xludf.DUMMYFUNCTION("GOOGLETRANSLATE(O955,""en"",""bn"")"),"গোপাল মণ্ডল")</f>
        <v>গোপাল মণ্ডল</v>
      </c>
      <c r="Q955" s="2" t="s">
        <v>1322</v>
      </c>
      <c r="S955" s="2" t="s">
        <v>1322</v>
      </c>
      <c r="V955" s="2" t="s">
        <v>2099</v>
      </c>
      <c r="W955" s="2">
        <v>2</v>
      </c>
    </row>
    <row r="956" spans="1:23" ht="15.75" customHeight="1" x14ac:dyDescent="0.35">
      <c r="A956" s="2" t="s">
        <v>23</v>
      </c>
      <c r="L956" s="2">
        <v>110</v>
      </c>
      <c r="M956" s="2" t="s">
        <v>259</v>
      </c>
      <c r="O956" s="2" t="s">
        <v>2100</v>
      </c>
      <c r="P956" s="2" t="str">
        <f ca="1">IFERROR(__xludf.DUMMYFUNCTION("GOOGLETRANSLATE(O956,""en"",""bn"")"),"সানাপ মন্ডল")</f>
        <v>সানাপ মন্ডল</v>
      </c>
      <c r="Q956" s="2" t="s">
        <v>1433</v>
      </c>
      <c r="S956" s="2" t="s">
        <v>1433</v>
      </c>
      <c r="V956" s="2" t="s">
        <v>2101</v>
      </c>
      <c r="W956" s="2">
        <v>2</v>
      </c>
    </row>
    <row r="957" spans="1:23" ht="15.75" customHeight="1" x14ac:dyDescent="0.35">
      <c r="A957" s="2" t="s">
        <v>23</v>
      </c>
      <c r="L957" s="2">
        <v>171</v>
      </c>
      <c r="M957" s="2" t="s">
        <v>87</v>
      </c>
      <c r="O957" s="2" t="s">
        <v>2102</v>
      </c>
      <c r="P957" s="2" t="str">
        <f ca="1">IFERROR(__xludf.DUMMYFUNCTION("GOOGLETRANSLATE(O957,""en"",""bn"")"),"শঙ্কর মন্ডল (বুলটু)")</f>
        <v>শঙ্কর মন্ডল (বুলটু)</v>
      </c>
      <c r="Q957" s="2" t="s">
        <v>1433</v>
      </c>
      <c r="S957" s="2" t="s">
        <v>1433</v>
      </c>
      <c r="V957" s="2" t="s">
        <v>2103</v>
      </c>
      <c r="W957" s="2">
        <v>2</v>
      </c>
    </row>
    <row r="958" spans="1:23" ht="15.75" customHeight="1" x14ac:dyDescent="0.35">
      <c r="A958" s="2" t="s">
        <v>23</v>
      </c>
      <c r="L958" s="2">
        <v>83</v>
      </c>
      <c r="M958" s="2" t="s">
        <v>354</v>
      </c>
      <c r="O958" s="2" t="s">
        <v>2104</v>
      </c>
      <c r="P958" s="2" t="str">
        <f ca="1">IFERROR(__xludf.DUMMYFUNCTION("GOOGLETRANSLATE(O958,""en"",""bn"")"),"অমিতাভা নন্দী")</f>
        <v>অমিতাভা নন্দী</v>
      </c>
      <c r="Q958" s="2" t="s">
        <v>1322</v>
      </c>
      <c r="S958" s="2" t="s">
        <v>1322</v>
      </c>
      <c r="V958" s="2" t="s">
        <v>2105</v>
      </c>
      <c r="W958" s="2">
        <v>2</v>
      </c>
    </row>
    <row r="959" spans="1:23" ht="15.75" customHeight="1" x14ac:dyDescent="0.35">
      <c r="A959" s="2" t="s">
        <v>23</v>
      </c>
      <c r="L959" s="2">
        <v>101</v>
      </c>
      <c r="M959" s="2" t="s">
        <v>154</v>
      </c>
      <c r="O959" s="2" t="s">
        <v>2106</v>
      </c>
      <c r="P959" s="2" t="str">
        <f ca="1">IFERROR(__xludf.DUMMYFUNCTION("GOOGLETRANSLATE(O959,""en"",""bn"")"),"শিখা ঘোষ")</f>
        <v>শিখা ঘোষ</v>
      </c>
      <c r="Q959" s="2" t="s">
        <v>1109</v>
      </c>
      <c r="S959" s="2" t="s">
        <v>1109</v>
      </c>
      <c r="V959" s="2" t="s">
        <v>2107</v>
      </c>
      <c r="W959" s="2">
        <v>2</v>
      </c>
    </row>
    <row r="960" spans="1:23" ht="15.75" customHeight="1" x14ac:dyDescent="0.35">
      <c r="A960" s="2" t="s">
        <v>23</v>
      </c>
      <c r="L960" s="2">
        <v>191</v>
      </c>
      <c r="M960" s="2" t="s">
        <v>271</v>
      </c>
      <c r="O960" s="2" t="s">
        <v>2108</v>
      </c>
      <c r="P960" s="2" t="str">
        <f ca="1">IFERROR(__xludf.DUMMYFUNCTION("GOOGLETRANSLATE(O960,""en"",""bn"")"),"সোমা বিশ্বাস")</f>
        <v>সোমা বিশ্বাস</v>
      </c>
      <c r="Q960" s="2" t="s">
        <v>1322</v>
      </c>
      <c r="S960" s="2" t="s">
        <v>1322</v>
      </c>
      <c r="V960" s="2" t="s">
        <v>2109</v>
      </c>
      <c r="W960" s="2">
        <v>2</v>
      </c>
    </row>
    <row r="961" spans="1:23" ht="15.75" customHeight="1" x14ac:dyDescent="0.35">
      <c r="A961" s="2" t="s">
        <v>23</v>
      </c>
      <c r="L961" s="2">
        <v>93</v>
      </c>
      <c r="M961" s="2" t="s">
        <v>187</v>
      </c>
      <c r="O961" s="2" t="s">
        <v>2110</v>
      </c>
      <c r="P961" s="2" t="str">
        <f ca="1">IFERROR(__xludf.DUMMYFUNCTION("GOOGLETRANSLATE(O961,""en"",""bn"")"),"বিপ্লব চন্দ্র দাস")</f>
        <v>বিপ্লব চন্দ্র দাস</v>
      </c>
      <c r="Q961" s="2" t="s">
        <v>92</v>
      </c>
      <c r="S961" s="2" t="s">
        <v>92</v>
      </c>
      <c r="V961" s="2" t="s">
        <v>2111</v>
      </c>
      <c r="W961" s="2">
        <v>2</v>
      </c>
    </row>
    <row r="962" spans="1:23" ht="15.75" customHeight="1" x14ac:dyDescent="0.35">
      <c r="A962" s="2" t="s">
        <v>23</v>
      </c>
      <c r="L962" s="2">
        <v>199</v>
      </c>
      <c r="M962" s="2" t="s">
        <v>244</v>
      </c>
      <c r="O962" s="2" t="s">
        <v>251</v>
      </c>
      <c r="P962" s="2" t="str">
        <f ca="1">IFERROR(__xludf.DUMMYFUNCTION("GOOGLETRANSLATE(O962,""en"",""bn"")"),"তন্ময় ঘোষ")</f>
        <v>তন্ময় ঘোষ</v>
      </c>
      <c r="Q962" s="2" t="s">
        <v>1322</v>
      </c>
      <c r="S962" s="2" t="s">
        <v>1322</v>
      </c>
      <c r="V962" s="2" t="s">
        <v>2112</v>
      </c>
      <c r="W962" s="2">
        <v>2</v>
      </c>
    </row>
    <row r="963" spans="1:23" ht="15.75" customHeight="1" x14ac:dyDescent="0.35">
      <c r="A963" s="2" t="s">
        <v>23</v>
      </c>
      <c r="L963" s="2">
        <v>161</v>
      </c>
      <c r="M963" s="2" t="s">
        <v>112</v>
      </c>
      <c r="O963" s="2" t="s">
        <v>2113</v>
      </c>
      <c r="P963" s="2" t="str">
        <f ca="1">IFERROR(__xludf.DUMMYFUNCTION("GOOGLETRANSLATE(O963,""en"",""bn"")"),"ফয়সাল খান")</f>
        <v>ফয়সাল খান</v>
      </c>
      <c r="Q963" s="2" t="s">
        <v>1109</v>
      </c>
      <c r="S963" s="2" t="s">
        <v>1109</v>
      </c>
      <c r="V963" s="2" t="s">
        <v>2114</v>
      </c>
      <c r="W963" s="2">
        <v>2</v>
      </c>
    </row>
    <row r="964" spans="1:23" ht="15.75" customHeight="1" x14ac:dyDescent="0.35">
      <c r="A964" s="2" t="s">
        <v>23</v>
      </c>
      <c r="L964" s="2">
        <v>82</v>
      </c>
      <c r="M964" s="2" t="s">
        <v>375</v>
      </c>
      <c r="O964" s="2" t="s">
        <v>2115</v>
      </c>
      <c r="P964" s="2" t="str">
        <f ca="1">IFERROR(__xludf.DUMMYFUNCTION("GOOGLETRANSLATE(O964,""en"",""bn"")"),"শুক্লা সহ (মুক্তা)")</f>
        <v>শুক্লা সহ (মুক্তা)</v>
      </c>
      <c r="Q964" s="2" t="s">
        <v>1109</v>
      </c>
      <c r="S964" s="2" t="s">
        <v>1109</v>
      </c>
      <c r="V964" s="2" t="s">
        <v>2116</v>
      </c>
      <c r="W964" s="2">
        <v>2</v>
      </c>
    </row>
    <row r="965" spans="1:23" ht="15.75" customHeight="1" x14ac:dyDescent="0.35">
      <c r="A965" s="2" t="s">
        <v>23</v>
      </c>
      <c r="L965" s="2">
        <v>162</v>
      </c>
      <c r="M965" s="2" t="s">
        <v>411</v>
      </c>
      <c r="O965" s="2" t="s">
        <v>2117</v>
      </c>
      <c r="P965" s="2" t="str">
        <f ca="1">IFERROR(__xludf.DUMMYFUNCTION("GOOGLETRANSLATE(O965,""en"",""bn"")"),"জোহর ইকবাল")</f>
        <v>জোহর ইকবাল</v>
      </c>
      <c r="Q965" s="2" t="s">
        <v>1322</v>
      </c>
      <c r="S965" s="2" t="s">
        <v>1322</v>
      </c>
      <c r="V965" s="2" t="s">
        <v>2118</v>
      </c>
      <c r="W965" s="2">
        <v>2</v>
      </c>
    </row>
    <row r="966" spans="1:23" ht="15.75" customHeight="1" x14ac:dyDescent="0.35">
      <c r="A966" s="2" t="s">
        <v>23</v>
      </c>
      <c r="L966" s="2">
        <v>174</v>
      </c>
      <c r="M966" s="2" t="s">
        <v>256</v>
      </c>
      <c r="O966" s="2" t="s">
        <v>2119</v>
      </c>
      <c r="P966" s="2" t="str">
        <f ca="1">IFERROR(__xludf.DUMMYFUNCTION("GOOGLETRANSLATE(O966,""en"",""bn"")"),"বরুণ দাস")</f>
        <v>বরুণ দাস</v>
      </c>
      <c r="Q966" s="2" t="s">
        <v>1322</v>
      </c>
      <c r="S966" s="2" t="s">
        <v>1322</v>
      </c>
      <c r="V966" s="2" t="s">
        <v>2120</v>
      </c>
      <c r="W966" s="2">
        <v>2</v>
      </c>
    </row>
    <row r="967" spans="1:23" ht="15.75" customHeight="1" x14ac:dyDescent="0.35">
      <c r="A967" s="2" t="s">
        <v>23</v>
      </c>
      <c r="L967" s="2">
        <v>164</v>
      </c>
      <c r="M967" s="2" t="s">
        <v>402</v>
      </c>
      <c r="O967" s="2" t="s">
        <v>2121</v>
      </c>
      <c r="P967" s="2" t="str">
        <f ca="1">IFERROR(__xludf.DUMMYFUNCTION("GOOGLETRANSLATE(O967,""en"",""bn"")"),"DEBDYUTI DEB")</f>
        <v>DEBDYUTI DEB</v>
      </c>
      <c r="Q967" s="2" t="s">
        <v>1322</v>
      </c>
      <c r="S967" s="2" t="s">
        <v>1322</v>
      </c>
      <c r="V967" s="2" t="s">
        <v>2122</v>
      </c>
      <c r="W967" s="2">
        <v>2</v>
      </c>
    </row>
    <row r="968" spans="1:23" ht="15.75" customHeight="1" x14ac:dyDescent="0.35">
      <c r="A968" s="2" t="s">
        <v>23</v>
      </c>
      <c r="L968" s="2">
        <v>187</v>
      </c>
      <c r="M968" s="2" t="s">
        <v>405</v>
      </c>
      <c r="O968" s="2" t="s">
        <v>2123</v>
      </c>
      <c r="P968" s="2" t="str">
        <f ca="1">IFERROR(__xludf.DUMMYFUNCTION("GOOGLETRANSLATE(O968,""en"",""bn"")"),"অরিন্দম ঘোষ")</f>
        <v>অরিন্দম ঘোষ</v>
      </c>
      <c r="Q968" s="2" t="s">
        <v>1322</v>
      </c>
      <c r="S968" s="2" t="s">
        <v>1322</v>
      </c>
      <c r="V968" s="2" t="s">
        <v>2124</v>
      </c>
      <c r="W968" s="2">
        <v>2</v>
      </c>
    </row>
    <row r="969" spans="1:23" ht="15.75" customHeight="1" x14ac:dyDescent="0.35">
      <c r="A969" s="2" t="s">
        <v>23</v>
      </c>
      <c r="L969" s="2">
        <v>114</v>
      </c>
      <c r="M969" s="2" t="s">
        <v>303</v>
      </c>
      <c r="O969" s="2" t="s">
        <v>2125</v>
      </c>
      <c r="P969" s="2" t="str">
        <f ca="1">IFERROR(__xludf.DUMMYFUNCTION("GOOGLETRANSLATE(O969,""en"",""bn"")"),"সাবির রাজা আনসারি")</f>
        <v>সাবির রাজা আনসারি</v>
      </c>
      <c r="Q969" s="2" t="s">
        <v>1109</v>
      </c>
      <c r="S969" s="2" t="s">
        <v>1109</v>
      </c>
      <c r="V969" s="2" t="s">
        <v>2126</v>
      </c>
      <c r="W969" s="2">
        <v>2</v>
      </c>
    </row>
    <row r="970" spans="1:23" ht="15.75" customHeight="1" x14ac:dyDescent="0.35">
      <c r="A970" s="2" t="s">
        <v>23</v>
      </c>
      <c r="L970" s="2">
        <v>157</v>
      </c>
      <c r="M970" s="2" t="s">
        <v>36</v>
      </c>
      <c r="O970" s="2" t="s">
        <v>2127</v>
      </c>
      <c r="P970" s="2" t="str">
        <f ca="1">IFERROR(__xludf.DUMMYFUNCTION("GOOGLETRANSLATE(O970,""en"",""bn"")"),"রফিকুল ইসলাম গাজী")</f>
        <v>রফিকুল ইসলাম গাজী</v>
      </c>
      <c r="Q970" s="2" t="s">
        <v>1816</v>
      </c>
      <c r="S970" s="2" t="s">
        <v>1816</v>
      </c>
      <c r="V970" s="2" t="s">
        <v>2128</v>
      </c>
      <c r="W970" s="2">
        <v>2</v>
      </c>
    </row>
    <row r="971" spans="1:23" ht="15.75" customHeight="1" x14ac:dyDescent="0.35">
      <c r="A971" s="2" t="s">
        <v>23</v>
      </c>
      <c r="L971" s="2">
        <v>135</v>
      </c>
      <c r="M971" s="2" t="s">
        <v>333</v>
      </c>
      <c r="O971" s="2" t="s">
        <v>2129</v>
      </c>
      <c r="P971" s="2" t="str">
        <f ca="1">IFERROR(__xludf.DUMMYFUNCTION("GOOGLETRANSLATE(O971,""en"",""bn"")"),"শিশির কুমার মন্ডল")</f>
        <v>শিশির কুমার মন্ডল</v>
      </c>
      <c r="Q971" s="2" t="s">
        <v>92</v>
      </c>
      <c r="S971" s="2" t="s">
        <v>92</v>
      </c>
      <c r="V971" s="2" t="s">
        <v>2130</v>
      </c>
      <c r="W971" s="2">
        <v>2</v>
      </c>
    </row>
    <row r="972" spans="1:23" ht="15.75" customHeight="1" x14ac:dyDescent="0.35">
      <c r="A972" s="2" t="s">
        <v>23</v>
      </c>
      <c r="L972" s="2">
        <v>274</v>
      </c>
      <c r="M972" s="2" t="s">
        <v>366</v>
      </c>
      <c r="O972" s="2" t="s">
        <v>2131</v>
      </c>
      <c r="P972" s="2" t="str">
        <f ca="1">IFERROR(__xludf.DUMMYFUNCTION("GOOGLETRANSLATE(O972,""en"",""bn"")"),"সূর্য বাগদি")</f>
        <v>সূর্য বাগদি</v>
      </c>
      <c r="Q972" s="2" t="s">
        <v>1322</v>
      </c>
      <c r="S972" s="2" t="s">
        <v>1322</v>
      </c>
      <c r="V972" s="2" t="s">
        <v>2132</v>
      </c>
      <c r="W972" s="2">
        <v>2</v>
      </c>
    </row>
    <row r="973" spans="1:23" ht="15.75" customHeight="1" x14ac:dyDescent="0.35">
      <c r="A973" s="2" t="s">
        <v>23</v>
      </c>
      <c r="L973" s="2">
        <v>131</v>
      </c>
      <c r="M973" s="2" t="s">
        <v>130</v>
      </c>
      <c r="O973" s="2" t="s">
        <v>2133</v>
      </c>
      <c r="P973" s="2" t="str">
        <f ca="1">IFERROR(__xludf.DUMMYFUNCTION("GOOGLETRANSLATE(O973,""en"",""bn"")"),"বিমলেন্দু শী")</f>
        <v>বিমলেন্দু শী</v>
      </c>
      <c r="Q973" s="2" t="s">
        <v>2018</v>
      </c>
      <c r="S973" s="2" t="s">
        <v>2018</v>
      </c>
      <c r="V973" s="2" t="s">
        <v>2134</v>
      </c>
      <c r="W973" s="2">
        <v>2</v>
      </c>
    </row>
    <row r="974" spans="1:23" ht="15.75" customHeight="1" x14ac:dyDescent="0.35">
      <c r="A974" s="2" t="s">
        <v>23</v>
      </c>
      <c r="L974" s="2">
        <v>155</v>
      </c>
      <c r="M974" s="2" t="s">
        <v>262</v>
      </c>
      <c r="O974" s="2" t="s">
        <v>2135</v>
      </c>
      <c r="P974" s="2" t="str">
        <f ca="1">IFERROR(__xludf.DUMMYFUNCTION("GOOGLETRANSLATE(O974,""en"",""bn"")"),"সঙ্গীতা মৈতী")</f>
        <v>সঙ্গীতা মৈতী</v>
      </c>
      <c r="Q974" s="2" t="s">
        <v>92</v>
      </c>
      <c r="S974" s="2" t="s">
        <v>92</v>
      </c>
      <c r="V974" s="2" t="s">
        <v>2136</v>
      </c>
      <c r="W974" s="2">
        <v>2</v>
      </c>
    </row>
    <row r="975" spans="1:23" ht="15.75" customHeight="1" x14ac:dyDescent="0.35">
      <c r="A975" s="2" t="s">
        <v>23</v>
      </c>
      <c r="L975" s="2">
        <v>269</v>
      </c>
      <c r="M975" s="2" t="s">
        <v>378</v>
      </c>
      <c r="O975" s="2" t="s">
        <v>2137</v>
      </c>
      <c r="P975" s="2" t="str">
        <f ca="1">IFERROR(__xludf.DUMMYFUNCTION("GOOGLETRANSLATE(O975,""en"",""bn"")"),"দীপক ঘোষ")</f>
        <v>দীপক ঘোষ</v>
      </c>
      <c r="Q975" s="2" t="s">
        <v>1322</v>
      </c>
      <c r="S975" s="2" t="s">
        <v>1322</v>
      </c>
      <c r="V975" s="2" t="s">
        <v>2138</v>
      </c>
      <c r="W975" s="2">
        <v>2</v>
      </c>
    </row>
    <row r="976" spans="1:23" ht="15.75" customHeight="1" x14ac:dyDescent="0.35">
      <c r="A976" s="2" t="s">
        <v>23</v>
      </c>
      <c r="L976" s="2">
        <v>119</v>
      </c>
      <c r="M976" s="2" t="s">
        <v>327</v>
      </c>
      <c r="O976" s="2" t="s">
        <v>2139</v>
      </c>
      <c r="P976" s="2" t="str">
        <f ca="1">IFERROR(__xludf.DUMMYFUNCTION("GOOGLETRANSLATE(O976,""en"",""bn"")"),"ওমর ফারুক")</f>
        <v>ওমর ফারুক</v>
      </c>
      <c r="Q976" s="2" t="s">
        <v>1868</v>
      </c>
      <c r="S976" s="2" t="s">
        <v>1868</v>
      </c>
      <c r="V976" s="2" t="s">
        <v>2140</v>
      </c>
      <c r="W976" s="2">
        <v>2</v>
      </c>
    </row>
    <row r="977" spans="1:23" ht="15.75" customHeight="1" x14ac:dyDescent="0.35">
      <c r="A977" s="2" t="s">
        <v>23</v>
      </c>
      <c r="L977" s="2">
        <v>103</v>
      </c>
      <c r="M977" s="2" t="s">
        <v>199</v>
      </c>
      <c r="O977" s="2" t="s">
        <v>2141</v>
      </c>
      <c r="P977" s="2" t="str">
        <f ca="1">IFERROR(__xludf.DUMMYFUNCTION("GOOGLETRANSLATE(O977,""en"",""bn"")"),"সীমা নন্দী")</f>
        <v>সীমা নন্দী</v>
      </c>
      <c r="Q977" s="2" t="s">
        <v>92</v>
      </c>
      <c r="S977" s="2" t="s">
        <v>92</v>
      </c>
      <c r="V977" s="2" t="s">
        <v>2142</v>
      </c>
      <c r="W977" s="2">
        <v>2</v>
      </c>
    </row>
    <row r="978" spans="1:23" ht="15.75" customHeight="1" x14ac:dyDescent="0.35">
      <c r="A978" s="2" t="s">
        <v>23</v>
      </c>
      <c r="L978" s="2">
        <v>194</v>
      </c>
      <c r="M978" s="2" t="s">
        <v>205</v>
      </c>
      <c r="O978" s="2" t="s">
        <v>2143</v>
      </c>
      <c r="P978" s="2" t="str">
        <f ca="1">IFERROR(__xludf.DUMMYFUNCTION("GOOGLETRANSLATE(O978,""en"",""bn"")"),"সুমিত মুখার্জি")</f>
        <v>সুমিত মুখার্জি</v>
      </c>
      <c r="Q978" s="2" t="s">
        <v>1322</v>
      </c>
      <c r="S978" s="2" t="s">
        <v>1322</v>
      </c>
      <c r="V978" s="2" t="s">
        <v>2144</v>
      </c>
      <c r="W978" s="2">
        <v>2</v>
      </c>
    </row>
    <row r="979" spans="1:23" ht="15.75" customHeight="1" x14ac:dyDescent="0.35">
      <c r="A979" s="2" t="s">
        <v>23</v>
      </c>
      <c r="L979" s="2">
        <v>100</v>
      </c>
      <c r="M979" s="2" t="s">
        <v>69</v>
      </c>
      <c r="O979" s="2" t="s">
        <v>2145</v>
      </c>
      <c r="P979" s="2" t="str">
        <f ca="1">IFERROR(__xludf.DUMMYFUNCTION("GOOGLETRANSLATE(O979,""en"",""bn"")"),"কবির রানা")</f>
        <v>কবির রানা</v>
      </c>
      <c r="Q979" s="2" t="s">
        <v>1109</v>
      </c>
      <c r="S979" s="2" t="s">
        <v>1109</v>
      </c>
      <c r="V979" s="2" t="s">
        <v>2146</v>
      </c>
      <c r="W979" s="2">
        <v>2</v>
      </c>
    </row>
    <row r="980" spans="1:23" ht="15.75" customHeight="1" x14ac:dyDescent="0.35">
      <c r="A980" s="2" t="s">
        <v>23</v>
      </c>
      <c r="L980" s="2">
        <v>152</v>
      </c>
      <c r="M980" s="2" t="s">
        <v>450</v>
      </c>
      <c r="O980" s="2" t="s">
        <v>2147</v>
      </c>
      <c r="P980" s="2" t="str">
        <f ca="1">IFERROR(__xludf.DUMMYFUNCTION("GOOGLETRANSLATE(O980,""en"",""bn"")"),"ডঃ চন্দ্রচুর গোস্বামী")</f>
        <v>ডঃ চন্দ্রচুর গোস্বামী</v>
      </c>
      <c r="Q980" s="2" t="s">
        <v>1322</v>
      </c>
      <c r="S980" s="2" t="s">
        <v>1322</v>
      </c>
      <c r="V980" s="2" t="s">
        <v>2148</v>
      </c>
      <c r="W980" s="2">
        <v>2</v>
      </c>
    </row>
    <row r="981" spans="1:23" ht="15.75" customHeight="1" x14ac:dyDescent="0.35">
      <c r="A981" s="2" t="s">
        <v>23</v>
      </c>
      <c r="L981" s="2">
        <v>260</v>
      </c>
      <c r="M981" s="2" t="s">
        <v>292</v>
      </c>
      <c r="O981" s="2" t="s">
        <v>2149</v>
      </c>
      <c r="P981" s="2" t="str">
        <f ca="1">IFERROR(__xludf.DUMMYFUNCTION("GOOGLETRANSLATE(O981,""en"",""bn"")"),"মৌমিতা ব্যানার্জী")</f>
        <v>মৌমিতা ব্যানার্জী</v>
      </c>
      <c r="Q981" s="2" t="s">
        <v>1322</v>
      </c>
      <c r="S981" s="2" t="s">
        <v>1322</v>
      </c>
      <c r="V981" s="2" t="s">
        <v>2150</v>
      </c>
      <c r="W981" s="2">
        <v>2</v>
      </c>
    </row>
    <row r="982" spans="1:23" ht="15.75" customHeight="1" x14ac:dyDescent="0.35">
      <c r="A982" s="2" t="s">
        <v>23</v>
      </c>
      <c r="L982" s="2">
        <v>104</v>
      </c>
      <c r="M982" s="2" t="s">
        <v>396</v>
      </c>
      <c r="O982" s="2" t="s">
        <v>2151</v>
      </c>
      <c r="P982" s="2" t="str">
        <f ca="1">IFERROR(__xludf.DUMMYFUNCTION("GOOGLETRANSLATE(O982,""en"",""bn"")"),"দিনেশ কুমার শর্মা")</f>
        <v>দিনেশ কুমার শর্মা</v>
      </c>
      <c r="Q982" s="2" t="s">
        <v>1322</v>
      </c>
      <c r="S982" s="2" t="s">
        <v>1322</v>
      </c>
      <c r="V982" s="2" t="s">
        <v>2152</v>
      </c>
      <c r="W982" s="2">
        <v>2</v>
      </c>
    </row>
    <row r="983" spans="1:23" ht="15.75" customHeight="1" x14ac:dyDescent="0.35">
      <c r="A983" s="2" t="s">
        <v>23</v>
      </c>
      <c r="L983" s="2">
        <v>120</v>
      </c>
      <c r="M983" s="2" t="s">
        <v>309</v>
      </c>
      <c r="O983" s="2" t="s">
        <v>2153</v>
      </c>
      <c r="P983" s="2" t="str">
        <f ca="1">IFERROR(__xludf.DUMMYFUNCTION("GOOGLETRANSLATE(O983,""en"",""bn"")"),"এমডি মোফিদুল হক সাহাজি মিন্টু")</f>
        <v>এমডি মোফিদুল হক সাহাজি মিন্টু</v>
      </c>
      <c r="Q983" s="2" t="s">
        <v>1047</v>
      </c>
      <c r="S983" s="2" t="s">
        <v>1047</v>
      </c>
      <c r="V983" s="2" t="s">
        <v>2154</v>
      </c>
      <c r="W983" s="2">
        <v>2</v>
      </c>
    </row>
    <row r="984" spans="1:23" ht="15.75" customHeight="1" x14ac:dyDescent="0.35">
      <c r="A984" s="2" t="s">
        <v>23</v>
      </c>
      <c r="L984" s="2">
        <v>178</v>
      </c>
      <c r="M984" s="2" t="s">
        <v>226</v>
      </c>
      <c r="O984" s="2" t="s">
        <v>2155</v>
      </c>
      <c r="P984" s="2" t="str">
        <f ca="1">IFERROR(__xludf.DUMMYFUNCTION("GOOGLETRANSLATE(O984,""en"",""bn"")"),"এসকে হাবিব")</f>
        <v>এসকে হাবিব</v>
      </c>
      <c r="Q984" s="2" t="s">
        <v>1109</v>
      </c>
      <c r="S984" s="2" t="s">
        <v>1109</v>
      </c>
      <c r="V984" s="2" t="s">
        <v>2156</v>
      </c>
      <c r="W984" s="2">
        <v>2</v>
      </c>
    </row>
    <row r="985" spans="1:23" ht="15.75" customHeight="1" x14ac:dyDescent="0.35">
      <c r="A985" s="2" t="s">
        <v>23</v>
      </c>
      <c r="L985" s="2">
        <v>170</v>
      </c>
      <c r="M985" s="2" t="s">
        <v>438</v>
      </c>
      <c r="O985" s="2" t="s">
        <v>2157</v>
      </c>
      <c r="P985" s="2" t="str">
        <f ca="1">IFERROR(__xludf.DUMMYFUNCTION("GOOGLETRANSLATE(O985,""en"",""bn"")"),"গৌতম বর্মা")</f>
        <v>গৌতম বর্মা</v>
      </c>
      <c r="Q985" s="2" t="s">
        <v>1322</v>
      </c>
      <c r="S985" s="2" t="s">
        <v>1322</v>
      </c>
      <c r="V985" s="2" t="s">
        <v>2158</v>
      </c>
      <c r="W985" s="2">
        <v>2</v>
      </c>
    </row>
    <row r="986" spans="1:23" ht="15.75" customHeight="1" x14ac:dyDescent="0.35">
      <c r="A986" s="2" t="s">
        <v>23</v>
      </c>
      <c r="L986" s="2">
        <v>117</v>
      </c>
      <c r="M986" s="2" t="s">
        <v>277</v>
      </c>
      <c r="O986" s="2" t="s">
        <v>2159</v>
      </c>
      <c r="P986" s="2" t="str">
        <f ca="1">IFERROR(__xludf.DUMMYFUNCTION("GOOGLETRANSLATE(O986,""en"",""bn"")"),"সুবীর চৌধুরী")</f>
        <v>সুবীর চৌধুরী</v>
      </c>
      <c r="Q986" s="2" t="s">
        <v>92</v>
      </c>
      <c r="S986" s="2" t="s">
        <v>92</v>
      </c>
      <c r="V986" s="2" t="s">
        <v>2160</v>
      </c>
      <c r="W986" s="2">
        <v>2</v>
      </c>
    </row>
    <row r="987" spans="1:23" ht="15.75" customHeight="1" x14ac:dyDescent="0.35">
      <c r="A987" s="2" t="s">
        <v>23</v>
      </c>
      <c r="L987" s="2">
        <v>141</v>
      </c>
      <c r="M987" s="2" t="s">
        <v>63</v>
      </c>
      <c r="O987" s="2" t="s">
        <v>2161</v>
      </c>
      <c r="P987" s="2" t="str">
        <f ca="1">IFERROR(__xludf.DUMMYFUNCTION("GOOGLETRANSLATE(O987,""en"",""bn"")"),"ভাস্কর চন্দ্র নস্কর")</f>
        <v>ভাস্কর চন্দ্র নস্কর</v>
      </c>
      <c r="Q987" s="2" t="s">
        <v>1322</v>
      </c>
      <c r="S987" s="2" t="s">
        <v>1322</v>
      </c>
      <c r="V987" s="2" t="s">
        <v>2162</v>
      </c>
      <c r="W987" s="2">
        <v>2</v>
      </c>
    </row>
    <row r="988" spans="1:23" ht="15.75" customHeight="1" x14ac:dyDescent="0.35">
      <c r="A988" s="2" t="s">
        <v>23</v>
      </c>
      <c r="L988" s="2">
        <v>184</v>
      </c>
      <c r="M988" s="2" t="s">
        <v>60</v>
      </c>
      <c r="O988" s="2" t="s">
        <v>2163</v>
      </c>
      <c r="P988" s="2" t="str">
        <f ca="1">IFERROR(__xludf.DUMMYFUNCTION("GOOGLETRANSLATE(O988,""en"",""bn"")"),"হাবিবুর রহমান এসকে. (রাজু)")</f>
        <v>হাবিবুর রহমান এসকে. (রাজু)</v>
      </c>
      <c r="Q988" s="2" t="s">
        <v>1433</v>
      </c>
      <c r="S988" s="2" t="s">
        <v>1433</v>
      </c>
      <c r="V988" s="2" t="s">
        <v>2164</v>
      </c>
      <c r="W988" s="2">
        <v>2</v>
      </c>
    </row>
    <row r="989" spans="1:23" ht="15.75" customHeight="1" x14ac:dyDescent="0.35">
      <c r="A989" s="2" t="s">
        <v>23</v>
      </c>
      <c r="L989" s="2">
        <v>142</v>
      </c>
      <c r="M989" s="2" t="s">
        <v>414</v>
      </c>
      <c r="O989" s="2" t="s">
        <v>2165</v>
      </c>
      <c r="P989" s="2" t="str">
        <f ca="1">IFERROR(__xludf.DUMMYFUNCTION("GOOGLETRANSLATE(O989,""en"",""bn"")"),"আমির হোসেন সারদার")</f>
        <v>আমির হোসেন সারদার</v>
      </c>
      <c r="Q989" s="2" t="s">
        <v>1322</v>
      </c>
      <c r="S989" s="2" t="s">
        <v>1322</v>
      </c>
      <c r="V989" s="2" t="s">
        <v>2166</v>
      </c>
      <c r="W989" s="2">
        <v>2</v>
      </c>
    </row>
    <row r="990" spans="1:23" ht="15.75" customHeight="1" x14ac:dyDescent="0.35">
      <c r="A990" s="2" t="s">
        <v>23</v>
      </c>
      <c r="L990" s="2">
        <v>140</v>
      </c>
      <c r="M990" s="2" t="s">
        <v>429</v>
      </c>
      <c r="O990" s="2" t="s">
        <v>2167</v>
      </c>
      <c r="P990" s="2" t="str">
        <f ca="1">IFERROR(__xludf.DUMMYFUNCTION("GOOGLETRANSLATE(O990,""en"",""bn"")"),"মো. শহিদুল লস্কর")</f>
        <v>মো. শহিদুল লস্কর</v>
      </c>
      <c r="Q990" s="2" t="s">
        <v>1109</v>
      </c>
      <c r="S990" s="2" t="s">
        <v>1109</v>
      </c>
      <c r="V990" s="2" t="s">
        <v>2168</v>
      </c>
      <c r="W990" s="2">
        <v>2</v>
      </c>
    </row>
    <row r="991" spans="1:23" ht="15.75" customHeight="1" x14ac:dyDescent="0.35">
      <c r="A991" s="2" t="s">
        <v>23</v>
      </c>
      <c r="L991" s="2">
        <v>168</v>
      </c>
      <c r="M991" s="2" t="s">
        <v>100</v>
      </c>
      <c r="O991" s="2" t="s">
        <v>2169</v>
      </c>
      <c r="P991" s="2" t="str">
        <f ca="1">IFERROR(__xludf.DUMMYFUNCTION("GOOGLETRANSLATE(O991,""en"",""bn"")"),"ফুলতুশি দত্ত")</f>
        <v>ফুলতুশি দত্ত</v>
      </c>
      <c r="Q991" s="2" t="s">
        <v>2018</v>
      </c>
      <c r="S991" s="2" t="s">
        <v>2018</v>
      </c>
      <c r="V991" s="2" t="s">
        <v>2170</v>
      </c>
      <c r="W991" s="2">
        <v>2</v>
      </c>
    </row>
    <row r="992" spans="1:23" ht="15.75" customHeight="1" x14ac:dyDescent="0.35">
      <c r="A992" s="2" t="s">
        <v>23</v>
      </c>
      <c r="L992" s="2">
        <v>138</v>
      </c>
      <c r="M992" s="2" t="s">
        <v>145</v>
      </c>
      <c r="O992" s="2" t="s">
        <v>2171</v>
      </c>
      <c r="P992" s="2" t="str">
        <f ca="1">IFERROR(__xludf.DUMMYFUNCTION("GOOGLETRANSLATE(O992,""en"",""bn"")"),"মিলান দাস")</f>
        <v>মিলান দাস</v>
      </c>
      <c r="Q992" s="2" t="s">
        <v>1322</v>
      </c>
      <c r="S992" s="2" t="s">
        <v>1322</v>
      </c>
      <c r="V992" s="2" t="s">
        <v>2172</v>
      </c>
      <c r="W992" s="2">
        <v>2</v>
      </c>
    </row>
    <row r="993" spans="1:23" ht="15.75" customHeight="1" x14ac:dyDescent="0.35">
      <c r="A993" s="2" t="s">
        <v>23</v>
      </c>
      <c r="L993" s="2">
        <v>158</v>
      </c>
      <c r="M993" s="2" t="s">
        <v>57</v>
      </c>
      <c r="O993" s="2" t="s">
        <v>2173</v>
      </c>
      <c r="P993" s="2" t="str">
        <f ca="1">IFERROR(__xludf.DUMMYFUNCTION("GOOGLETRANSLATE(O993,""en"",""bn"")"),"বিশ্বজিৎ হালদার")</f>
        <v>বিশ্বজিৎ হালদার</v>
      </c>
      <c r="Q993" s="2" t="s">
        <v>1322</v>
      </c>
      <c r="S993" s="2" t="s">
        <v>1322</v>
      </c>
      <c r="V993" s="2" t="s">
        <v>2174</v>
      </c>
      <c r="W993" s="2">
        <v>2</v>
      </c>
    </row>
    <row r="994" spans="1:23" ht="15.75" customHeight="1" x14ac:dyDescent="0.35">
      <c r="A994" s="2" t="s">
        <v>23</v>
      </c>
      <c r="L994" s="2">
        <v>117</v>
      </c>
      <c r="M994" s="2" t="s">
        <v>277</v>
      </c>
      <c r="O994" s="2" t="s">
        <v>2175</v>
      </c>
      <c r="P994" s="2" t="str">
        <f ca="1">IFERROR(__xludf.DUMMYFUNCTION("GOOGLETRANSLATE(O994,""en"",""bn"")"),"অচিন্ত্য ঘোষ")</f>
        <v>অচিন্ত্য ঘোষ</v>
      </c>
      <c r="Q994" s="2" t="s">
        <v>1322</v>
      </c>
      <c r="S994" s="2" t="s">
        <v>1322</v>
      </c>
      <c r="V994" s="2" t="s">
        <v>2176</v>
      </c>
      <c r="W994" s="2">
        <v>2</v>
      </c>
    </row>
    <row r="995" spans="1:23" ht="15.75" customHeight="1" x14ac:dyDescent="0.35">
      <c r="A995" s="2" t="s">
        <v>23</v>
      </c>
      <c r="L995" s="2">
        <v>159</v>
      </c>
      <c r="M995" s="2" t="s">
        <v>157</v>
      </c>
      <c r="O995" s="2" t="s">
        <v>2177</v>
      </c>
      <c r="P995" s="2" t="str">
        <f ca="1">IFERROR(__xludf.DUMMYFUNCTION("GOOGLETRANSLATE(O995,""en"",""bn"")"),"মুমতাজ আলী")</f>
        <v>মুমতাজ আলী</v>
      </c>
      <c r="Q995" s="2" t="s">
        <v>1322</v>
      </c>
      <c r="S995" s="2" t="s">
        <v>1322</v>
      </c>
      <c r="V995" s="2" t="s">
        <v>2178</v>
      </c>
      <c r="W995" s="2">
        <v>2</v>
      </c>
    </row>
    <row r="996" spans="1:23" ht="15.75" customHeight="1" x14ac:dyDescent="0.35">
      <c r="A996" s="2" t="s">
        <v>23</v>
      </c>
      <c r="L996" s="2">
        <v>128</v>
      </c>
      <c r="M996" s="2" t="s">
        <v>124</v>
      </c>
      <c r="O996" s="2" t="s">
        <v>2179</v>
      </c>
      <c r="P996" s="2" t="str">
        <f ca="1">IFERROR(__xludf.DUMMYFUNCTION("GOOGLETRANSLATE(O996,""en"",""bn"")"),"গৌরী নস্কর")</f>
        <v>গৌরী নস্কর</v>
      </c>
      <c r="Q996" s="2" t="s">
        <v>1322</v>
      </c>
      <c r="S996" s="2" t="s">
        <v>1322</v>
      </c>
      <c r="V996" s="2" t="s">
        <v>2180</v>
      </c>
      <c r="W996" s="2">
        <v>2</v>
      </c>
    </row>
    <row r="997" spans="1:23" ht="15.75" customHeight="1" x14ac:dyDescent="0.35">
      <c r="A997" s="2" t="s">
        <v>23</v>
      </c>
      <c r="L997" s="2">
        <v>122</v>
      </c>
      <c r="M997" s="2" t="s">
        <v>232</v>
      </c>
      <c r="O997" s="2" t="s">
        <v>2181</v>
      </c>
      <c r="P997" s="2" t="str">
        <f ca="1">IFERROR(__xludf.DUMMYFUNCTION("GOOGLETRANSLATE(O997,""en"",""bn"")"),"সৌরভ দাস")</f>
        <v>সৌরভ দাস</v>
      </c>
      <c r="Q997" s="2" t="s">
        <v>1322</v>
      </c>
      <c r="S997" s="2" t="s">
        <v>1322</v>
      </c>
      <c r="V997" s="2" t="s">
        <v>2182</v>
      </c>
      <c r="W997" s="2">
        <v>2</v>
      </c>
    </row>
    <row r="998" spans="1:23" ht="15.75" customHeight="1" x14ac:dyDescent="0.35">
      <c r="A998" s="2" t="s">
        <v>23</v>
      </c>
      <c r="L998" s="2">
        <v>77</v>
      </c>
      <c r="M998" s="2" t="s">
        <v>202</v>
      </c>
      <c r="O998" s="2" t="s">
        <v>2183</v>
      </c>
      <c r="P998" s="2" t="str">
        <f ca="1">IFERROR(__xludf.DUMMYFUNCTION("GOOGLETRANSLATE(O998,""en"",""bn"")"),"সমর কুমার ঘোষ")</f>
        <v>সমর কুমার ঘোষ</v>
      </c>
      <c r="Q998" s="2" t="s">
        <v>1322</v>
      </c>
      <c r="S998" s="2" t="s">
        <v>1322</v>
      </c>
      <c r="V998" s="2" t="s">
        <v>2184</v>
      </c>
      <c r="W998" s="2">
        <v>2</v>
      </c>
    </row>
    <row r="999" spans="1:23" ht="15.75" customHeight="1" x14ac:dyDescent="0.35">
      <c r="A999" s="2" t="s">
        <v>23</v>
      </c>
      <c r="L999" s="2">
        <v>140</v>
      </c>
      <c r="M999" s="2" t="s">
        <v>429</v>
      </c>
      <c r="O999" s="2" t="s">
        <v>2185</v>
      </c>
      <c r="P999" s="2" t="str">
        <f ca="1">IFERROR(__xludf.DUMMYFUNCTION("GOOGLETRANSLATE(O999,""en"",""bn"")"),"কৃষ্ণেন্দু প্রামাণিক")</f>
        <v>কৃষ্ণেন্দু প্রামাণিক</v>
      </c>
      <c r="Q999" s="2" t="s">
        <v>1322</v>
      </c>
      <c r="S999" s="2" t="s">
        <v>1322</v>
      </c>
      <c r="V999" s="2" t="s">
        <v>2186</v>
      </c>
      <c r="W999" s="2">
        <v>2</v>
      </c>
    </row>
    <row r="1000" spans="1:23" ht="15.75" customHeight="1" x14ac:dyDescent="0.35">
      <c r="A1000" s="2" t="s">
        <v>23</v>
      </c>
      <c r="L1000" s="2">
        <v>263</v>
      </c>
      <c r="M1000" s="2" t="s">
        <v>78</v>
      </c>
      <c r="O1000" s="2" t="s">
        <v>2187</v>
      </c>
      <c r="P1000" s="2" t="str">
        <f ca="1">IFERROR(__xludf.DUMMYFUNCTION("GOOGLETRANSLATE(O1000,""en"",""bn"")"),"সোমনাথ মালিক")</f>
        <v>সোমনাথ মালিক</v>
      </c>
      <c r="Q1000" s="2" t="s">
        <v>1322</v>
      </c>
      <c r="S1000" s="2" t="s">
        <v>1322</v>
      </c>
      <c r="V1000" s="2" t="s">
        <v>2188</v>
      </c>
      <c r="W1000" s="2">
        <v>2</v>
      </c>
    </row>
    <row r="1001" spans="1:23" ht="15.75" customHeight="1" x14ac:dyDescent="0.35">
      <c r="A1001" s="2" t="s">
        <v>23</v>
      </c>
      <c r="L1001" s="2">
        <v>108</v>
      </c>
      <c r="M1001" s="2" t="s">
        <v>441</v>
      </c>
      <c r="O1001" s="2" t="s">
        <v>2189</v>
      </c>
      <c r="P1001" s="2" t="str">
        <f ca="1">IFERROR(__xludf.DUMMYFUNCTION("GOOGLETRANSLATE(O1001,""en"",""bn"")"),"সমীর কুন্ডু")</f>
        <v>সমীর কুন্ডু</v>
      </c>
      <c r="Q1001" s="2" t="s">
        <v>1322</v>
      </c>
      <c r="S1001" s="2" t="s">
        <v>1322</v>
      </c>
      <c r="V1001" s="2" t="s">
        <v>2190</v>
      </c>
      <c r="W1001" s="2">
        <v>2</v>
      </c>
    </row>
    <row r="1002" spans="1:23" ht="15.75" customHeight="1" x14ac:dyDescent="0.35">
      <c r="A1002" s="2" t="s">
        <v>23</v>
      </c>
      <c r="L1002" s="2">
        <v>180</v>
      </c>
      <c r="M1002" s="2" t="s">
        <v>324</v>
      </c>
      <c r="O1002" s="2" t="s">
        <v>2191</v>
      </c>
      <c r="P1002" s="2" t="str">
        <f ca="1">IFERROR(__xludf.DUMMYFUNCTION("GOOGLETRANSLATE(O1002,""en"",""bn"")"),"মোলে ঘোষ")</f>
        <v>মোলে ঘোষ</v>
      </c>
      <c r="Q1002" s="2" t="s">
        <v>1322</v>
      </c>
      <c r="S1002" s="2" t="s">
        <v>1322</v>
      </c>
      <c r="V1002" s="2" t="s">
        <v>2192</v>
      </c>
      <c r="W1002" s="2">
        <v>2</v>
      </c>
    </row>
    <row r="1003" spans="1:23" ht="15.75" customHeight="1" x14ac:dyDescent="0.35">
      <c r="A1003" s="2" t="s">
        <v>23</v>
      </c>
      <c r="L1003" s="2">
        <v>131</v>
      </c>
      <c r="M1003" s="2" t="s">
        <v>130</v>
      </c>
      <c r="O1003" s="2" t="s">
        <v>2193</v>
      </c>
      <c r="P1003" s="2" t="str">
        <f ca="1">IFERROR(__xludf.DUMMYFUNCTION("GOOGLETRANSLATE(O1003,""en"",""bn"")"),"হাসিবুল ইসলাম মীর")</f>
        <v>হাসিবুল ইসলাম মীর</v>
      </c>
      <c r="Q1003" s="2" t="s">
        <v>1109</v>
      </c>
      <c r="S1003" s="2" t="s">
        <v>1109</v>
      </c>
      <c r="V1003" s="2" t="s">
        <v>2194</v>
      </c>
      <c r="W1003" s="2">
        <v>2</v>
      </c>
    </row>
    <row r="1004" spans="1:23" ht="15.75" customHeight="1" x14ac:dyDescent="0.35">
      <c r="A1004" s="2" t="s">
        <v>23</v>
      </c>
      <c r="L1004" s="2">
        <v>79</v>
      </c>
      <c r="M1004" s="2" t="s">
        <v>103</v>
      </c>
      <c r="O1004" s="2" t="s">
        <v>2195</v>
      </c>
      <c r="P1004" s="2" t="str">
        <f ca="1">IFERROR(__xludf.DUMMYFUNCTION("GOOGLETRANSLATE(O1004,""en"",""bn"")"),"হায়দার আলী মন্ডল")</f>
        <v>হায়দার আলী মন্ডল</v>
      </c>
      <c r="Q1004" s="2" t="s">
        <v>1109</v>
      </c>
      <c r="S1004" s="2" t="s">
        <v>1109</v>
      </c>
      <c r="V1004" s="2" t="s">
        <v>2196</v>
      </c>
      <c r="W1004" s="2">
        <v>2</v>
      </c>
    </row>
    <row r="1005" spans="1:23" ht="15.75" customHeight="1" x14ac:dyDescent="0.35">
      <c r="A1005" s="2" t="s">
        <v>23</v>
      </c>
      <c r="L1005" s="2">
        <v>171</v>
      </c>
      <c r="M1005" s="2" t="s">
        <v>87</v>
      </c>
      <c r="O1005" s="2" t="s">
        <v>2197</v>
      </c>
      <c r="P1005" s="2" t="str">
        <f ca="1">IFERROR(__xludf.DUMMYFUNCTION("GOOGLETRANSLATE(O1005,""en"",""bn"")"),"শ্রীরূপ দাস")</f>
        <v>শ্রীরূপ দাস</v>
      </c>
      <c r="Q1005" s="2" t="s">
        <v>92</v>
      </c>
      <c r="S1005" s="2" t="s">
        <v>92</v>
      </c>
      <c r="V1005" s="2" t="s">
        <v>2198</v>
      </c>
      <c r="W1005" s="2">
        <v>2</v>
      </c>
    </row>
    <row r="1006" spans="1:23" ht="15.75" customHeight="1" x14ac:dyDescent="0.35">
      <c r="A1006" s="2" t="s">
        <v>23</v>
      </c>
      <c r="L1006" s="2">
        <v>172</v>
      </c>
      <c r="M1006" s="2" t="s">
        <v>28</v>
      </c>
      <c r="O1006" s="2" t="s">
        <v>2199</v>
      </c>
      <c r="P1006" s="2" t="str">
        <f ca="1">IFERROR(__xludf.DUMMYFUNCTION("GOOGLETRANSLATE(O1006,""en"",""bn"")"),"রাজ রায়")</f>
        <v>রাজ রায়</v>
      </c>
      <c r="Q1006" s="2" t="s">
        <v>1322</v>
      </c>
      <c r="S1006" s="2" t="s">
        <v>1322</v>
      </c>
      <c r="V1006" s="2" t="s">
        <v>2200</v>
      </c>
      <c r="W1006" s="2">
        <v>2</v>
      </c>
    </row>
    <row r="1007" spans="1:23" ht="15.75" customHeight="1" x14ac:dyDescent="0.35">
      <c r="A1007" s="2" t="s">
        <v>23</v>
      </c>
      <c r="L1007" s="2">
        <v>113</v>
      </c>
      <c r="M1007" s="2" t="s">
        <v>399</v>
      </c>
      <c r="O1007" s="2" t="s">
        <v>2201</v>
      </c>
      <c r="P1007" s="2" t="str">
        <f ca="1">IFERROR(__xludf.DUMMYFUNCTION("GOOGLETRANSLATE(O1007,""en"",""bn"")"),"শুভ্রাংশু ভক্ত")</f>
        <v>শুভ্রাংশু ভক্ত</v>
      </c>
      <c r="Q1007" s="2" t="s">
        <v>1322</v>
      </c>
      <c r="S1007" s="2" t="s">
        <v>1322</v>
      </c>
      <c r="V1007" s="2" t="s">
        <v>2202</v>
      </c>
      <c r="W1007" s="2">
        <v>2</v>
      </c>
    </row>
    <row r="1008" spans="1:23" ht="15.75" customHeight="1" x14ac:dyDescent="0.35">
      <c r="A1008" s="2" t="s">
        <v>23</v>
      </c>
      <c r="L1008" s="2">
        <v>157</v>
      </c>
      <c r="M1008" s="2" t="s">
        <v>36</v>
      </c>
      <c r="O1008" s="2" t="s">
        <v>2203</v>
      </c>
      <c r="P1008" s="2" t="str">
        <f ca="1">IFERROR(__xludf.DUMMYFUNCTION("GOOGLETRANSLATE(O1008,""en"",""bn"")"),"রিনা অধিকারী রায়")</f>
        <v>রিনা অধিকারী রায়</v>
      </c>
      <c r="Q1008" s="2" t="s">
        <v>92</v>
      </c>
      <c r="S1008" s="2" t="s">
        <v>92</v>
      </c>
      <c r="V1008" s="2" t="s">
        <v>2204</v>
      </c>
      <c r="W1008" s="2">
        <v>2</v>
      </c>
    </row>
    <row r="1009" spans="1:23" ht="15.75" customHeight="1" x14ac:dyDescent="0.35">
      <c r="A1009" s="2" t="s">
        <v>23</v>
      </c>
      <c r="L1009" s="2">
        <v>116</v>
      </c>
      <c r="M1009" s="2" t="s">
        <v>39</v>
      </c>
      <c r="O1009" s="2" t="s">
        <v>1149</v>
      </c>
      <c r="P1009" s="2" t="str">
        <f ca="1">IFERROR(__xludf.DUMMYFUNCTION("GOOGLETRANSLATE(O1009,""en"",""bn"")"),"সুজিত বোস")</f>
        <v>সুজিত বোস</v>
      </c>
      <c r="Q1009" s="2" t="s">
        <v>1322</v>
      </c>
      <c r="S1009" s="2" t="s">
        <v>1322</v>
      </c>
      <c r="V1009" s="2" t="s">
        <v>2205</v>
      </c>
      <c r="W1009" s="2">
        <v>2</v>
      </c>
    </row>
    <row r="1010" spans="1:23" ht="15.75" customHeight="1" x14ac:dyDescent="0.35">
      <c r="A1010" s="2" t="s">
        <v>23</v>
      </c>
      <c r="L1010" s="2">
        <v>165</v>
      </c>
      <c r="M1010" s="2" t="s">
        <v>390</v>
      </c>
      <c r="O1010" s="2" t="s">
        <v>2206</v>
      </c>
      <c r="P1010" s="2" t="str">
        <f ca="1">IFERROR(__xludf.DUMMYFUNCTION("GOOGLETRANSLATE(O1010,""en"",""bn"")"),"হরিরাম সিং")</f>
        <v>হরিরাম সিং</v>
      </c>
      <c r="Q1010" s="2" t="s">
        <v>1322</v>
      </c>
      <c r="S1010" s="2" t="s">
        <v>1322</v>
      </c>
      <c r="V1010" s="2" t="s">
        <v>2207</v>
      </c>
      <c r="W1010" s="2">
        <v>2</v>
      </c>
    </row>
    <row r="1011" spans="1:23" ht="15.75" customHeight="1" x14ac:dyDescent="0.35">
      <c r="A1011" s="2" t="s">
        <v>23</v>
      </c>
      <c r="L1011" s="2">
        <v>145</v>
      </c>
      <c r="M1011" s="2" t="s">
        <v>166</v>
      </c>
      <c r="O1011" s="2" t="s">
        <v>2208</v>
      </c>
      <c r="P1011" s="2" t="str">
        <f ca="1">IFERROR(__xludf.DUMMYFUNCTION("GOOGLETRANSLATE(O1011,""en"",""bn"")"),"সঞ্জিত ঘোরুই")</f>
        <v>সঞ্জিত ঘোরুই</v>
      </c>
      <c r="Q1011" s="2" t="s">
        <v>1322</v>
      </c>
      <c r="S1011" s="2" t="s">
        <v>1322</v>
      </c>
      <c r="V1011" s="2" t="s">
        <v>2209</v>
      </c>
      <c r="W1011" s="2">
        <v>2</v>
      </c>
    </row>
    <row r="1012" spans="1:23" ht="15.75" customHeight="1" x14ac:dyDescent="0.35">
      <c r="A1012" s="2" t="s">
        <v>23</v>
      </c>
      <c r="L1012" s="2">
        <v>271</v>
      </c>
      <c r="M1012" s="2" t="s">
        <v>444</v>
      </c>
      <c r="O1012" s="2" t="s">
        <v>2210</v>
      </c>
      <c r="P1012" s="2" t="str">
        <f ca="1">IFERROR(__xludf.DUMMYFUNCTION("GOOGLETRANSLATE(O1012,""en"",""bn"")"),"মথুরা ঘোষ")</f>
        <v>মথুরা ঘোষ</v>
      </c>
      <c r="Q1012" s="2" t="s">
        <v>1322</v>
      </c>
      <c r="S1012" s="2" t="s">
        <v>1322</v>
      </c>
      <c r="V1012" s="2" t="s">
        <v>2211</v>
      </c>
      <c r="W1012" s="2">
        <v>2</v>
      </c>
    </row>
    <row r="1013" spans="1:23" ht="15.75" customHeight="1" x14ac:dyDescent="0.35">
      <c r="A1013" s="2" t="s">
        <v>23</v>
      </c>
      <c r="L1013" s="2">
        <v>133</v>
      </c>
      <c r="M1013" s="2" t="s">
        <v>384</v>
      </c>
      <c r="O1013" s="2" t="s">
        <v>2212</v>
      </c>
      <c r="P1013" s="2" t="str">
        <f ca="1">IFERROR(__xludf.DUMMYFUNCTION("GOOGLETRANSLATE(O1013,""en"",""bn"")"),"অবনীমোহন রায়")</f>
        <v>অবনীমোহন রায়</v>
      </c>
      <c r="Q1013" s="2" t="s">
        <v>1322</v>
      </c>
      <c r="S1013" s="2" t="s">
        <v>1322</v>
      </c>
      <c r="V1013" s="2" t="s">
        <v>2213</v>
      </c>
      <c r="W1013" s="2">
        <v>2</v>
      </c>
    </row>
    <row r="1014" spans="1:23" ht="15.75" customHeight="1" x14ac:dyDescent="0.35">
      <c r="A1014" s="2" t="s">
        <v>23</v>
      </c>
      <c r="L1014" s="2">
        <v>149</v>
      </c>
      <c r="M1014" s="2" t="s">
        <v>51</v>
      </c>
      <c r="O1014" s="2" t="s">
        <v>2214</v>
      </c>
      <c r="P1014" s="2" t="str">
        <f ca="1">IFERROR(__xludf.DUMMYFUNCTION("GOOGLETRANSLATE(O1014,""en"",""bn"")"),"দেবাশিস ঘোষ দস্তিদার")</f>
        <v>দেবাশিস ঘোষ দস্তিদার</v>
      </c>
      <c r="Q1014" s="2" t="s">
        <v>1322</v>
      </c>
      <c r="S1014" s="2" t="s">
        <v>1322</v>
      </c>
      <c r="V1014" s="2" t="s">
        <v>2215</v>
      </c>
      <c r="W1014" s="2">
        <v>2</v>
      </c>
    </row>
    <row r="1015" spans="1:23" ht="15.75" customHeight="1" x14ac:dyDescent="0.35">
      <c r="A1015" s="2" t="s">
        <v>23</v>
      </c>
      <c r="L1015" s="2">
        <v>162</v>
      </c>
      <c r="M1015" s="2" t="s">
        <v>411</v>
      </c>
      <c r="O1015" s="2" t="s">
        <v>2216</v>
      </c>
      <c r="P1015" s="2" t="str">
        <f ca="1">IFERROR(__xludf.DUMMYFUNCTION("GOOGLETRANSLATE(O1015,""en"",""bn"")"),"এমডি এহসান এলাহি")</f>
        <v>এমডি এহসান এলাহি</v>
      </c>
      <c r="Q1015" s="2" t="s">
        <v>1322</v>
      </c>
      <c r="S1015" s="2" t="s">
        <v>1322</v>
      </c>
      <c r="V1015" s="2" t="s">
        <v>2217</v>
      </c>
      <c r="W1015" s="2">
        <v>2</v>
      </c>
    </row>
    <row r="1016" spans="1:23" ht="15.75" customHeight="1" x14ac:dyDescent="0.35">
      <c r="A1016" s="2" t="s">
        <v>23</v>
      </c>
      <c r="L1016" s="2">
        <v>179</v>
      </c>
      <c r="M1016" s="2" t="s">
        <v>435</v>
      </c>
      <c r="O1016" s="2" t="s">
        <v>2218</v>
      </c>
      <c r="P1016" s="2" t="str">
        <f ca="1">IFERROR(__xludf.DUMMYFUNCTION("GOOGLETRANSLATE(O1016,""en"",""bn"")"),"দেবশ্রী সাহু")</f>
        <v>দেবশ্রী সাহু</v>
      </c>
      <c r="Q1016" s="2" t="s">
        <v>1322</v>
      </c>
      <c r="S1016" s="2" t="s">
        <v>1322</v>
      </c>
      <c r="V1016" s="2" t="s">
        <v>2219</v>
      </c>
      <c r="W1016" s="2">
        <v>2</v>
      </c>
    </row>
    <row r="1017" spans="1:23" ht="15.75" customHeight="1" x14ac:dyDescent="0.35">
      <c r="A1017" s="2" t="s">
        <v>23</v>
      </c>
      <c r="L1017" s="2">
        <v>99</v>
      </c>
      <c r="M1017" s="2" t="s">
        <v>268</v>
      </c>
      <c r="O1017" s="2" t="s">
        <v>2220</v>
      </c>
      <c r="P1017" s="2" t="str">
        <f ca="1">IFERROR(__xludf.DUMMYFUNCTION("GOOGLETRANSLATE(O1017,""en"",""bn"")"),"সাফিকুল ইসলাম দাফাদার")</f>
        <v>সাফিকুল ইসলাম দাফাদার</v>
      </c>
      <c r="Q1017" s="2" t="s">
        <v>2221</v>
      </c>
      <c r="S1017" s="2" t="s">
        <v>2221</v>
      </c>
      <c r="V1017" s="2" t="s">
        <v>2222</v>
      </c>
      <c r="W1017" s="2">
        <v>2</v>
      </c>
    </row>
    <row r="1018" spans="1:23" ht="15.75" customHeight="1" x14ac:dyDescent="0.35">
      <c r="A1018" s="2" t="s">
        <v>23</v>
      </c>
      <c r="L1018" s="2">
        <v>198</v>
      </c>
      <c r="M1018" s="2" t="s">
        <v>381</v>
      </c>
      <c r="O1018" s="2" t="s">
        <v>2223</v>
      </c>
      <c r="P1018" s="2" t="str">
        <f ca="1">IFERROR(__xludf.DUMMYFUNCTION("GOOGLETRANSLATE(O1018,""en"",""bn"")"),"ইমামুল হাসান মুল্লিক")</f>
        <v>ইমামুল হাসান মুল্লিক</v>
      </c>
      <c r="Q1018" s="2" t="s">
        <v>1322</v>
      </c>
      <c r="S1018" s="2" t="s">
        <v>1322</v>
      </c>
      <c r="V1018" s="2" t="s">
        <v>2224</v>
      </c>
      <c r="W1018" s="2">
        <v>2</v>
      </c>
    </row>
    <row r="1019" spans="1:23" ht="15.75" customHeight="1" x14ac:dyDescent="0.35">
      <c r="A1019" s="2" t="s">
        <v>23</v>
      </c>
      <c r="L1019" s="2">
        <v>150</v>
      </c>
      <c r="M1019" s="2" t="s">
        <v>181</v>
      </c>
      <c r="O1019" s="2" t="s">
        <v>2225</v>
      </c>
      <c r="P1019" s="2" t="str">
        <f ca="1">IFERROR(__xludf.DUMMYFUNCTION("GOOGLETRANSLATE(O1019,""en"",""bn"")"),"জবা সরকার")</f>
        <v>জবা সরকার</v>
      </c>
      <c r="Q1019" s="2" t="s">
        <v>1322</v>
      </c>
      <c r="S1019" s="2" t="s">
        <v>1322</v>
      </c>
      <c r="V1019" s="2" t="s">
        <v>2226</v>
      </c>
      <c r="W1019" s="2">
        <v>2</v>
      </c>
    </row>
    <row r="1020" spans="1:23" ht="15.75" customHeight="1" x14ac:dyDescent="0.35">
      <c r="A1020" s="2" t="s">
        <v>23</v>
      </c>
      <c r="L1020" s="2">
        <v>78</v>
      </c>
      <c r="M1020" s="2" t="s">
        <v>47</v>
      </c>
      <c r="O1020" s="2" t="s">
        <v>2227</v>
      </c>
      <c r="P1020" s="2" t="str">
        <f ca="1">IFERROR(__xludf.DUMMYFUNCTION("GOOGLETRANSLATE(O1020,""en"",""bn"")"),"মিলান সরকার")</f>
        <v>মিলান সরকার</v>
      </c>
      <c r="Q1020" s="2" t="s">
        <v>1322</v>
      </c>
      <c r="S1020" s="2" t="s">
        <v>1322</v>
      </c>
      <c r="V1020" s="2" t="s">
        <v>2228</v>
      </c>
      <c r="W1020" s="2">
        <v>2</v>
      </c>
    </row>
    <row r="1021" spans="1:23" ht="15.75" customHeight="1" x14ac:dyDescent="0.35">
      <c r="A1021" s="2" t="s">
        <v>23</v>
      </c>
      <c r="L1021" s="2">
        <v>260</v>
      </c>
      <c r="M1021" s="2" t="s">
        <v>292</v>
      </c>
      <c r="O1021" s="2" t="s">
        <v>2229</v>
      </c>
      <c r="P1021" s="2" t="str">
        <f ca="1">IFERROR(__xludf.DUMMYFUNCTION("GOOGLETRANSLATE(O1021,""en"",""bn"")"),"লক্ষ্মী নারায়ণ কোরা")</f>
        <v>লক্ষ্মী নারায়ণ কোরা</v>
      </c>
      <c r="Q1021" s="2" t="s">
        <v>1322</v>
      </c>
      <c r="S1021" s="2" t="s">
        <v>1322</v>
      </c>
      <c r="V1021" s="2" t="s">
        <v>2230</v>
      </c>
      <c r="W1021" s="2">
        <v>2</v>
      </c>
    </row>
    <row r="1022" spans="1:23" ht="15.75" customHeight="1" x14ac:dyDescent="0.35">
      <c r="A1022" s="2" t="s">
        <v>23</v>
      </c>
      <c r="L1022" s="2">
        <v>182</v>
      </c>
      <c r="M1022" s="2" t="s">
        <v>97</v>
      </c>
      <c r="O1022" s="2" t="s">
        <v>2231</v>
      </c>
      <c r="P1022" s="2" t="str">
        <f ca="1">IFERROR(__xludf.DUMMYFUNCTION("GOOGLETRANSLATE(O1022,""en"",""bn"")"),"রাকেশ রায়")</f>
        <v>রাকেশ রায়</v>
      </c>
      <c r="Q1022" s="2" t="s">
        <v>1322</v>
      </c>
      <c r="S1022" s="2" t="s">
        <v>1322</v>
      </c>
      <c r="V1022" s="2" t="s">
        <v>2232</v>
      </c>
      <c r="W1022" s="2">
        <v>2</v>
      </c>
    </row>
    <row r="1023" spans="1:23" ht="15.75" customHeight="1" x14ac:dyDescent="0.35">
      <c r="A1023" s="2" t="s">
        <v>23</v>
      </c>
      <c r="L1023" s="2">
        <v>97</v>
      </c>
      <c r="M1023" s="2" t="s">
        <v>423</v>
      </c>
      <c r="O1023" s="2" t="s">
        <v>2233</v>
      </c>
      <c r="P1023" s="2" t="str">
        <f ca="1">IFERROR(__xludf.DUMMYFUNCTION("GOOGLETRANSLATE(O1023,""en"",""bn"")"),"তপন বিশ্বাস")</f>
        <v>তপন বিশ্বাস</v>
      </c>
      <c r="Q1023" s="2" t="s">
        <v>1322</v>
      </c>
      <c r="S1023" s="2" t="s">
        <v>1322</v>
      </c>
      <c r="V1023" s="2" t="s">
        <v>2234</v>
      </c>
      <c r="W1023" s="2">
        <v>2</v>
      </c>
    </row>
    <row r="1024" spans="1:23" ht="15.75" customHeight="1" x14ac:dyDescent="0.35">
      <c r="A1024" s="2" t="s">
        <v>23</v>
      </c>
      <c r="L1024" s="2">
        <v>137</v>
      </c>
      <c r="M1024" s="2" t="s">
        <v>372</v>
      </c>
      <c r="O1024" s="2" t="s">
        <v>373</v>
      </c>
      <c r="P1024" s="2" t="str">
        <f ca="1">IFERROR(__xludf.DUMMYFUNCTION("GOOGLETRANSLATE(O1024,""en"",""bn"")"),"টুম্পা সর্দার")</f>
        <v>টুম্পা সর্দার</v>
      </c>
      <c r="Q1024" s="2" t="s">
        <v>1322</v>
      </c>
      <c r="S1024" s="2" t="s">
        <v>1322</v>
      </c>
      <c r="V1024" s="2" t="s">
        <v>2235</v>
      </c>
      <c r="W1024" s="2">
        <v>2</v>
      </c>
    </row>
    <row r="1025" spans="1:23" ht="15.75" customHeight="1" x14ac:dyDescent="0.35">
      <c r="A1025" s="2" t="s">
        <v>23</v>
      </c>
      <c r="L1025" s="2">
        <v>87</v>
      </c>
      <c r="M1025" s="2" t="s">
        <v>351</v>
      </c>
      <c r="O1025" s="2" t="s">
        <v>2236</v>
      </c>
      <c r="P1025" s="2" t="str">
        <f ca="1">IFERROR(__xludf.DUMMYFUNCTION("GOOGLETRANSLATE(O1025,""en"",""bn"")"),"প্রদীপ সরকার")</f>
        <v>প্রদীপ সরকার</v>
      </c>
      <c r="Q1025" s="2" t="s">
        <v>1322</v>
      </c>
      <c r="S1025" s="2" t="s">
        <v>1322</v>
      </c>
      <c r="V1025" s="2" t="s">
        <v>2237</v>
      </c>
      <c r="W1025" s="2">
        <v>2</v>
      </c>
    </row>
    <row r="1026" spans="1:23" ht="15.75" customHeight="1" x14ac:dyDescent="0.35">
      <c r="A1026" s="2" t="s">
        <v>23</v>
      </c>
      <c r="L1026" s="2">
        <v>194</v>
      </c>
      <c r="M1026" s="2" t="s">
        <v>205</v>
      </c>
      <c r="O1026" s="2" t="s">
        <v>2238</v>
      </c>
      <c r="P1026" s="2" t="str">
        <f ca="1">IFERROR(__xludf.DUMMYFUNCTION("GOOGLETRANSLATE(O1026,""en"",""bn"")"),"শেখ ফিরোজ")</f>
        <v>শেখ ফিরোজ</v>
      </c>
      <c r="Q1026" s="2" t="s">
        <v>1322</v>
      </c>
      <c r="S1026" s="2" t="s">
        <v>1322</v>
      </c>
      <c r="V1026" s="2" t="s">
        <v>2239</v>
      </c>
      <c r="W1026" s="2">
        <v>2</v>
      </c>
    </row>
    <row r="1027" spans="1:23" ht="15.75" customHeight="1" x14ac:dyDescent="0.35">
      <c r="A1027" s="2" t="s">
        <v>23</v>
      </c>
      <c r="L1027" s="2">
        <v>154</v>
      </c>
      <c r="M1027" s="2" t="s">
        <v>136</v>
      </c>
      <c r="O1027" s="2" t="s">
        <v>2240</v>
      </c>
      <c r="P1027" s="2" t="str">
        <f ca="1">IFERROR(__xludf.DUMMYFUNCTION("GOOGLETRANSLATE(O1027,""en"",""bn"")"),"মোহিত ব্যানার্জী")</f>
        <v>মোহিত ব্যানার্জী</v>
      </c>
      <c r="Q1027" s="2" t="s">
        <v>1322</v>
      </c>
      <c r="S1027" s="2" t="s">
        <v>1322</v>
      </c>
      <c r="V1027" s="2" t="s">
        <v>2241</v>
      </c>
      <c r="W1027" s="2">
        <v>2</v>
      </c>
    </row>
    <row r="1028" spans="1:23" ht="15.75" customHeight="1" x14ac:dyDescent="0.35">
      <c r="A1028" s="2" t="s">
        <v>23</v>
      </c>
      <c r="L1028" s="2">
        <v>125</v>
      </c>
      <c r="M1028" s="2" t="s">
        <v>160</v>
      </c>
      <c r="O1028" s="2" t="s">
        <v>2242</v>
      </c>
      <c r="P1028" s="2" t="str">
        <f ca="1">IFERROR(__xludf.DUMMYFUNCTION("GOOGLETRANSLATE(O1028,""en"",""bn"")"),"রেহেনা রহমান")</f>
        <v>রেহেনা রহমান</v>
      </c>
      <c r="Q1028" s="2" t="s">
        <v>1322</v>
      </c>
      <c r="S1028" s="2" t="s">
        <v>1322</v>
      </c>
      <c r="V1028" s="2" t="s">
        <v>2243</v>
      </c>
      <c r="W1028" s="2">
        <v>2</v>
      </c>
    </row>
    <row r="1029" spans="1:23" ht="15.75" customHeight="1" x14ac:dyDescent="0.35">
      <c r="A1029" s="2" t="s">
        <v>23</v>
      </c>
      <c r="L1029" s="2">
        <v>98</v>
      </c>
      <c r="M1029" s="2" t="s">
        <v>115</v>
      </c>
      <c r="O1029" s="2" t="s">
        <v>749</v>
      </c>
      <c r="P1029" s="2" t="str">
        <f ca="1">IFERROR(__xludf.DUMMYFUNCTION("GOOGLETRANSLATE(O1029,""en"",""bn"")"),"বীনা মন্ডল")</f>
        <v>বীনা মন্ডল</v>
      </c>
      <c r="Q1029" s="2" t="s">
        <v>1322</v>
      </c>
      <c r="S1029" s="2" t="s">
        <v>1322</v>
      </c>
      <c r="V1029" s="2" t="s">
        <v>2244</v>
      </c>
      <c r="W1029" s="2">
        <v>2</v>
      </c>
    </row>
    <row r="1030" spans="1:23" ht="15.75" customHeight="1" x14ac:dyDescent="0.35">
      <c r="A1030" s="2" t="s">
        <v>23</v>
      </c>
      <c r="L1030" s="2">
        <v>269</v>
      </c>
      <c r="M1030" s="2" t="s">
        <v>378</v>
      </c>
      <c r="O1030" s="2" t="s">
        <v>2245</v>
      </c>
      <c r="P1030" s="2" t="str">
        <f ca="1">IFERROR(__xludf.DUMMYFUNCTION("GOOGLETRANSLATE(O1030,""en"",""bn"")"),"সুখচাঁদ ঘোষ")</f>
        <v>সুখচাঁদ ঘোষ</v>
      </c>
      <c r="Q1030" s="2" t="s">
        <v>1322</v>
      </c>
      <c r="S1030" s="2" t="s">
        <v>1322</v>
      </c>
      <c r="V1030" s="2" t="s">
        <v>2246</v>
      </c>
      <c r="W1030" s="2">
        <v>2</v>
      </c>
    </row>
    <row r="1031" spans="1:23" ht="15.75" customHeight="1" x14ac:dyDescent="0.35">
      <c r="A1031" s="2" t="s">
        <v>23</v>
      </c>
      <c r="L1031" s="2">
        <v>186</v>
      </c>
      <c r="M1031" s="2" t="s">
        <v>250</v>
      </c>
      <c r="O1031" s="2" t="s">
        <v>2247</v>
      </c>
      <c r="P1031" s="2" t="str">
        <f ca="1">IFERROR(__xludf.DUMMYFUNCTION("GOOGLETRANSLATE(O1031,""en"",""bn"")"),"সন্তোষ কুমার সিং (এস. কে. সিং)")</f>
        <v>সন্তোষ কুমার সিং (এস. কে. সিং)</v>
      </c>
      <c r="Q1031" s="2" t="s">
        <v>1322</v>
      </c>
      <c r="S1031" s="2" t="s">
        <v>1322</v>
      </c>
      <c r="V1031" s="2" t="s">
        <v>2248</v>
      </c>
      <c r="W1031" s="2">
        <v>2</v>
      </c>
    </row>
    <row r="1032" spans="1:23" ht="15.75" customHeight="1" x14ac:dyDescent="0.35">
      <c r="A1032" s="2" t="s">
        <v>23</v>
      </c>
      <c r="L1032" s="2">
        <v>147</v>
      </c>
      <c r="M1032" s="2" t="s">
        <v>265</v>
      </c>
      <c r="O1032" s="2" t="s">
        <v>2249</v>
      </c>
      <c r="P1032" s="2" t="str">
        <f ca="1">IFERROR(__xludf.DUMMYFUNCTION("GOOGLETRANSLATE(O1032,""en"",""bn"")"),"অত্রস্তা নাথ")</f>
        <v>অত্রস্তা নাথ</v>
      </c>
      <c r="Q1032" s="2" t="s">
        <v>1322</v>
      </c>
      <c r="S1032" s="2" t="s">
        <v>1322</v>
      </c>
      <c r="V1032" s="2" t="s">
        <v>2250</v>
      </c>
      <c r="W1032" s="2">
        <v>2</v>
      </c>
    </row>
    <row r="1033" spans="1:23" ht="15.75" customHeight="1" x14ac:dyDescent="0.35">
      <c r="A1033" s="2" t="s">
        <v>23</v>
      </c>
      <c r="L1033" s="2">
        <v>112</v>
      </c>
      <c r="M1033" s="2" t="s">
        <v>196</v>
      </c>
      <c r="O1033" s="2" t="s">
        <v>2251</v>
      </c>
      <c r="P1033" s="2" t="str">
        <f ca="1">IFERROR(__xludf.DUMMYFUNCTION("GOOGLETRANSLATE(O1033,""en"",""bn"")"),"শেখ ইমানুর রহমান")</f>
        <v>শেখ ইমানুর রহমান</v>
      </c>
      <c r="Q1033" s="2" t="s">
        <v>1322</v>
      </c>
      <c r="S1033" s="2" t="s">
        <v>1322</v>
      </c>
      <c r="V1033" s="2" t="s">
        <v>2252</v>
      </c>
      <c r="W1033" s="2">
        <v>2</v>
      </c>
    </row>
    <row r="1034" spans="1:23" ht="15.75" customHeight="1" x14ac:dyDescent="0.35">
      <c r="A1034" s="2" t="s">
        <v>23</v>
      </c>
      <c r="L1034" s="2">
        <v>92</v>
      </c>
      <c r="M1034" s="2" t="s">
        <v>321</v>
      </c>
      <c r="O1034" s="2" t="s">
        <v>2253</v>
      </c>
      <c r="P1034" s="2" t="str">
        <f ca="1">IFERROR(__xludf.DUMMYFUNCTION("GOOGLETRANSLATE(O1034,""en"",""bn"")"),"পুলক আধিকারি")</f>
        <v>পুলক আধিকারি</v>
      </c>
      <c r="Q1034" s="2" t="s">
        <v>1322</v>
      </c>
      <c r="S1034" s="2" t="s">
        <v>1322</v>
      </c>
      <c r="V1034" s="2" t="s">
        <v>2254</v>
      </c>
      <c r="W1034" s="2">
        <v>2</v>
      </c>
    </row>
    <row r="1035" spans="1:23" ht="15.75" customHeight="1" x14ac:dyDescent="0.35">
      <c r="A1035" s="2" t="s">
        <v>23</v>
      </c>
      <c r="L1035" s="2">
        <v>176</v>
      </c>
      <c r="M1035" s="2" t="s">
        <v>139</v>
      </c>
      <c r="O1035" s="2" t="s">
        <v>2255</v>
      </c>
      <c r="P1035" s="2" t="str">
        <f ca="1">IFERROR(__xludf.DUMMYFUNCTION("GOOGLETRANSLATE(O1035,""en"",""bn"")"),"বরুণ পাত্র")</f>
        <v>বরুণ পাত্র</v>
      </c>
      <c r="Q1035" s="2" t="s">
        <v>1322</v>
      </c>
      <c r="S1035" s="2" t="s">
        <v>1322</v>
      </c>
      <c r="V1035" s="2" t="s">
        <v>2256</v>
      </c>
      <c r="W1035" s="2">
        <v>2</v>
      </c>
    </row>
    <row r="1036" spans="1:23" ht="15.75" customHeight="1" x14ac:dyDescent="0.35">
      <c r="A1036" s="2" t="s">
        <v>23</v>
      </c>
      <c r="L1036" s="2">
        <v>123</v>
      </c>
      <c r="M1036" s="2" t="s">
        <v>208</v>
      </c>
      <c r="O1036" s="2" t="s">
        <v>2257</v>
      </c>
      <c r="P1036" s="2" t="str">
        <f ca="1">IFERROR(__xludf.DUMMYFUNCTION("GOOGLETRANSLATE(O1036,""en"",""bn"")"),"হরিশ চন্দ্র সর্দার")</f>
        <v>হরিশ চন্দ্র সর্দার</v>
      </c>
      <c r="Q1036" s="2" t="s">
        <v>1322</v>
      </c>
      <c r="S1036" s="2" t="s">
        <v>1322</v>
      </c>
      <c r="V1036" s="2" t="s">
        <v>2258</v>
      </c>
      <c r="W1036" s="2">
        <v>2</v>
      </c>
    </row>
    <row r="1037" spans="1:23" ht="15.75" customHeight="1" x14ac:dyDescent="0.35">
      <c r="A1037" s="2" t="s">
        <v>23</v>
      </c>
      <c r="L1037" s="2">
        <v>114</v>
      </c>
      <c r="M1037" s="2" t="s">
        <v>303</v>
      </c>
      <c r="O1037" s="2" t="s">
        <v>2259</v>
      </c>
      <c r="P1037" s="2" t="str">
        <f ca="1">IFERROR(__xludf.DUMMYFUNCTION("GOOGLETRANSLATE(O1037,""en"",""bn"")"),"দুলু দে")</f>
        <v>দুলু দে</v>
      </c>
      <c r="Q1037" s="2" t="s">
        <v>1322</v>
      </c>
      <c r="S1037" s="2" t="s">
        <v>1322</v>
      </c>
      <c r="V1037" s="2" t="s">
        <v>2260</v>
      </c>
      <c r="W1037" s="2">
        <v>2</v>
      </c>
    </row>
    <row r="1038" spans="1:23" ht="15.75" customHeight="1" x14ac:dyDescent="0.35">
      <c r="A1038" s="2" t="s">
        <v>23</v>
      </c>
      <c r="L1038" s="2">
        <v>80</v>
      </c>
      <c r="M1038" s="2" t="s">
        <v>175</v>
      </c>
      <c r="O1038" s="2" t="s">
        <v>2261</v>
      </c>
      <c r="P1038" s="2" t="str">
        <f ca="1">IFERROR(__xludf.DUMMYFUNCTION("GOOGLETRANSLATE(O1038,""en"",""bn"")"),"মহিউদ্দিন মন্ডল")</f>
        <v>মহিউদ্দিন মন্ডল</v>
      </c>
      <c r="Q1038" s="2" t="s">
        <v>92</v>
      </c>
      <c r="S1038" s="2" t="s">
        <v>92</v>
      </c>
      <c r="V1038" s="2" t="s">
        <v>2262</v>
      </c>
      <c r="W1038" s="2">
        <v>2</v>
      </c>
    </row>
    <row r="1039" spans="1:23" ht="15.75" customHeight="1" x14ac:dyDescent="0.35">
      <c r="A1039" s="2" t="s">
        <v>23</v>
      </c>
      <c r="L1039" s="2">
        <v>148</v>
      </c>
      <c r="M1039" s="2" t="s">
        <v>408</v>
      </c>
      <c r="O1039" s="2" t="s">
        <v>2263</v>
      </c>
      <c r="P1039" s="2" t="str">
        <f ca="1">IFERROR(__xludf.DUMMYFUNCTION("GOOGLETRANSLATE(O1039,""en"",""bn"")"),"আকিয়াবুল মিদ্দিয়া")</f>
        <v>আকিয়াবুল মিদ্দিয়া</v>
      </c>
      <c r="Q1039" s="2" t="s">
        <v>1322</v>
      </c>
      <c r="S1039" s="2" t="s">
        <v>1322</v>
      </c>
      <c r="V1039" s="2" t="s">
        <v>2264</v>
      </c>
      <c r="W1039" s="2">
        <v>2</v>
      </c>
    </row>
    <row r="1040" spans="1:23" ht="15.75" customHeight="1" x14ac:dyDescent="0.35">
      <c r="A1040" s="2" t="s">
        <v>23</v>
      </c>
      <c r="L1040" s="2">
        <v>88</v>
      </c>
      <c r="M1040" s="2" t="s">
        <v>306</v>
      </c>
      <c r="O1040" s="2" t="s">
        <v>2265</v>
      </c>
      <c r="P1040" s="2" t="str">
        <f ca="1">IFERROR(__xludf.DUMMYFUNCTION("GOOGLETRANSLATE(O1040,""en"",""bn"")"),"অনিমেশ বিশ্বাস")</f>
        <v>অনিমেশ বিশ্বাস</v>
      </c>
      <c r="Q1040" s="2" t="s">
        <v>1322</v>
      </c>
      <c r="S1040" s="2" t="s">
        <v>1322</v>
      </c>
      <c r="V1040" s="2" t="s">
        <v>2266</v>
      </c>
      <c r="W1040" s="2">
        <v>2</v>
      </c>
    </row>
    <row r="1041" spans="1:23" ht="15.75" customHeight="1" x14ac:dyDescent="0.35">
      <c r="A1041" s="2" t="s">
        <v>23</v>
      </c>
      <c r="L1041" s="2">
        <v>184</v>
      </c>
      <c r="M1041" s="2" t="s">
        <v>60</v>
      </c>
      <c r="O1041" s="2" t="s">
        <v>2267</v>
      </c>
      <c r="P1041" s="2" t="str">
        <f ca="1">IFERROR(__xludf.DUMMYFUNCTION("GOOGLETRANSLATE(O1041,""en"",""bn"")"),"হাসানুর রহমান মোল্লা")</f>
        <v>হাসানুর রহমান মোল্লা</v>
      </c>
      <c r="Q1041" s="2" t="s">
        <v>1109</v>
      </c>
      <c r="S1041" s="2" t="s">
        <v>1109</v>
      </c>
      <c r="V1041" s="2" t="s">
        <v>2268</v>
      </c>
      <c r="W1041" s="2">
        <v>2</v>
      </c>
    </row>
    <row r="1042" spans="1:23" ht="15.75" customHeight="1" x14ac:dyDescent="0.35">
      <c r="A1042" s="2" t="s">
        <v>23</v>
      </c>
      <c r="L1042" s="2">
        <v>167</v>
      </c>
      <c r="M1042" s="2" t="s">
        <v>109</v>
      </c>
      <c r="O1042" s="2" t="s">
        <v>2269</v>
      </c>
      <c r="P1042" s="2" t="str">
        <f ca="1">IFERROR(__xludf.DUMMYFUNCTION("GOOGLETRANSLATE(O1042,""en"",""bn"")"),"পিন্টু পাইন")</f>
        <v>পিন্টু পাইন</v>
      </c>
      <c r="Q1042" s="2" t="s">
        <v>1322</v>
      </c>
      <c r="S1042" s="2" t="s">
        <v>1322</v>
      </c>
      <c r="V1042" s="2" t="s">
        <v>2270</v>
      </c>
      <c r="W1042" s="2">
        <v>2</v>
      </c>
    </row>
    <row r="1043" spans="1:23" ht="15.75" customHeight="1" x14ac:dyDescent="0.35">
      <c r="A1043" s="2" t="s">
        <v>23</v>
      </c>
      <c r="L1043" s="2">
        <v>139</v>
      </c>
      <c r="M1043" s="2" t="s">
        <v>238</v>
      </c>
      <c r="O1043" s="2" t="s">
        <v>2271</v>
      </c>
      <c r="P1043" s="2" t="str">
        <f ca="1">IFERROR(__xludf.DUMMYFUNCTION("GOOGLETRANSLATE(O1043,""en"",""bn"")"),"সিরাজ আলী মোল্লা")</f>
        <v>সিরাজ আলী মোল্লা</v>
      </c>
      <c r="Q1043" s="2" t="s">
        <v>1322</v>
      </c>
      <c r="S1043" s="2" t="s">
        <v>1322</v>
      </c>
      <c r="V1043" s="2" t="s">
        <v>2272</v>
      </c>
      <c r="W1043" s="2">
        <v>2</v>
      </c>
    </row>
    <row r="1044" spans="1:23" ht="15.75" customHeight="1" x14ac:dyDescent="0.35">
      <c r="A1044" s="2" t="s">
        <v>23</v>
      </c>
      <c r="L1044" s="2">
        <v>189</v>
      </c>
      <c r="M1044" s="2" t="s">
        <v>223</v>
      </c>
      <c r="O1044" s="2" t="s">
        <v>2273</v>
      </c>
      <c r="P1044" s="2" t="str">
        <f ca="1">IFERROR(__xludf.DUMMYFUNCTION("GOOGLETRANSLATE(O1044,""en"",""bn"")"),"সাহারিয়ার মুল্লিক")</f>
        <v>সাহারিয়ার মুল্লিক</v>
      </c>
      <c r="Q1044" s="2" t="s">
        <v>1109</v>
      </c>
      <c r="S1044" s="2" t="s">
        <v>1109</v>
      </c>
      <c r="V1044" s="2" t="s">
        <v>2274</v>
      </c>
      <c r="W1044" s="2">
        <v>2</v>
      </c>
    </row>
    <row r="1045" spans="1:23" ht="15.75" customHeight="1" x14ac:dyDescent="0.35">
      <c r="A1045" s="2" t="s">
        <v>23</v>
      </c>
      <c r="L1045" s="2">
        <v>124</v>
      </c>
      <c r="M1045" s="2" t="s">
        <v>190</v>
      </c>
      <c r="O1045" s="2" t="s">
        <v>2275</v>
      </c>
      <c r="P1045" s="2" t="str">
        <f ca="1">IFERROR(__xludf.DUMMYFUNCTION("GOOGLETRANSLATE(O1045,""en"",""bn"")"),"জিষ্ণুদীপ মজুমদার")</f>
        <v>জিষ্ণুদীপ মজুমদার</v>
      </c>
      <c r="Q1045" s="2" t="s">
        <v>1322</v>
      </c>
      <c r="S1045" s="2" t="s">
        <v>1322</v>
      </c>
      <c r="V1045" s="2" t="s">
        <v>2276</v>
      </c>
      <c r="W1045" s="2">
        <v>2</v>
      </c>
    </row>
    <row r="1046" spans="1:23" ht="15.75" customHeight="1" x14ac:dyDescent="0.35">
      <c r="A1046" s="2" t="s">
        <v>23</v>
      </c>
      <c r="L1046" s="2">
        <v>118</v>
      </c>
      <c r="M1046" s="2" t="s">
        <v>121</v>
      </c>
      <c r="O1046" s="2" t="s">
        <v>2277</v>
      </c>
      <c r="P1046" s="2" t="str">
        <f ca="1">IFERROR(__xludf.DUMMYFUNCTION("GOOGLETRANSLATE(O1046,""en"",""bn"")"),"সনৎ কর্মকার")</f>
        <v>সনৎ কর্মকার</v>
      </c>
      <c r="Q1046" s="2" t="s">
        <v>1433</v>
      </c>
      <c r="S1046" s="2" t="s">
        <v>1433</v>
      </c>
      <c r="V1046" s="2" t="s">
        <v>2278</v>
      </c>
      <c r="W1046" s="2">
        <v>2</v>
      </c>
    </row>
    <row r="1047" spans="1:23" ht="15.75" customHeight="1" x14ac:dyDescent="0.35">
      <c r="A1047" s="2" t="s">
        <v>23</v>
      </c>
      <c r="L1047" s="2">
        <v>170</v>
      </c>
      <c r="M1047" s="2" t="s">
        <v>438</v>
      </c>
      <c r="O1047" s="2" t="s">
        <v>2279</v>
      </c>
      <c r="P1047" s="2" t="str">
        <f ca="1">IFERROR(__xludf.DUMMYFUNCTION("GOOGLETRANSLATE(O1047,""en"",""bn"")"),"চন্দ্র কান্ত জয়সওয়াল")</f>
        <v>চন্দ্র কান্ত জয়সওয়াল</v>
      </c>
      <c r="Q1047" s="2" t="s">
        <v>1322</v>
      </c>
      <c r="S1047" s="2" t="s">
        <v>1322</v>
      </c>
      <c r="V1047" s="2" t="s">
        <v>2280</v>
      </c>
      <c r="W1047" s="2">
        <v>2</v>
      </c>
    </row>
    <row r="1048" spans="1:23" ht="15.75" customHeight="1" x14ac:dyDescent="0.35">
      <c r="A1048" s="2" t="s">
        <v>23</v>
      </c>
      <c r="L1048" s="2">
        <v>193</v>
      </c>
      <c r="M1048" s="2" t="s">
        <v>118</v>
      </c>
      <c r="O1048" s="2" t="s">
        <v>2281</v>
      </c>
      <c r="P1048" s="2" t="str">
        <f ca="1">IFERROR(__xludf.DUMMYFUNCTION("GOOGLETRANSLATE(O1048,""en"",""bn"")"),"রেজিনা বেগম")</f>
        <v>রেজিনা বেগম</v>
      </c>
      <c r="Q1048" s="2" t="s">
        <v>1322</v>
      </c>
      <c r="S1048" s="2" t="s">
        <v>1322</v>
      </c>
      <c r="V1048" s="2" t="s">
        <v>2282</v>
      </c>
      <c r="W1048" s="2">
        <v>2</v>
      </c>
    </row>
    <row r="1049" spans="1:23" ht="15.75" customHeight="1" x14ac:dyDescent="0.35">
      <c r="A1049" s="2" t="s">
        <v>23</v>
      </c>
      <c r="L1049" s="2">
        <v>199</v>
      </c>
      <c r="M1049" s="2" t="s">
        <v>244</v>
      </c>
      <c r="O1049" s="2" t="s">
        <v>2283</v>
      </c>
      <c r="P1049" s="2" t="str">
        <f ca="1">IFERROR(__xludf.DUMMYFUNCTION("GOOGLETRANSLATE(O1049,""en"",""bn"")"),"হারাপ্রসাদ ব্যাগ")</f>
        <v>হারাপ্রসাদ ব্যাগ</v>
      </c>
      <c r="Q1049" s="2" t="s">
        <v>1322</v>
      </c>
      <c r="S1049" s="2" t="s">
        <v>1322</v>
      </c>
      <c r="V1049" s="2" t="s">
        <v>2284</v>
      </c>
      <c r="W1049" s="2">
        <v>2</v>
      </c>
    </row>
    <row r="1050" spans="1:23" ht="15.75" customHeight="1" x14ac:dyDescent="0.35">
      <c r="A1050" s="2" t="s">
        <v>23</v>
      </c>
      <c r="L1050" s="2">
        <v>100</v>
      </c>
      <c r="M1050" s="2" t="s">
        <v>69</v>
      </c>
      <c r="O1050" s="2" t="s">
        <v>2285</v>
      </c>
      <c r="P1050" s="2" t="str">
        <f ca="1">IFERROR(__xludf.DUMMYFUNCTION("GOOGLETRANSLATE(O1050,""en"",""bn"")"),"প্রবোধ কুমার সরকার")</f>
        <v>প্রবোধ কুমার সরকার</v>
      </c>
      <c r="Q1050" s="2" t="s">
        <v>92</v>
      </c>
      <c r="S1050" s="2" t="s">
        <v>92</v>
      </c>
      <c r="V1050" s="2" t="s">
        <v>2286</v>
      </c>
      <c r="W1050" s="2">
        <v>2</v>
      </c>
    </row>
    <row r="1051" spans="1:23" ht="15.75" customHeight="1" x14ac:dyDescent="0.35">
      <c r="A1051" s="2" t="s">
        <v>23</v>
      </c>
      <c r="L1051" s="2">
        <v>121</v>
      </c>
      <c r="M1051" s="2" t="s">
        <v>348</v>
      </c>
      <c r="O1051" s="2" t="s">
        <v>2287</v>
      </c>
      <c r="P1051" s="2" t="str">
        <f ca="1">IFERROR(__xludf.DUMMYFUNCTION("GOOGLETRANSLATE(O1051,""en"",""bn"")"),"মৃণাল মল্লিক")</f>
        <v>মৃণাল মল্লিক</v>
      </c>
      <c r="Q1051" s="2" t="s">
        <v>1322</v>
      </c>
      <c r="S1051" s="2" t="s">
        <v>1322</v>
      </c>
      <c r="V1051" s="2" t="s">
        <v>2288</v>
      </c>
      <c r="W1051" s="2">
        <v>2</v>
      </c>
    </row>
    <row r="1052" spans="1:23" ht="15.75" customHeight="1" x14ac:dyDescent="0.35">
      <c r="A1052" s="2" t="s">
        <v>23</v>
      </c>
      <c r="L1052" s="2">
        <v>270</v>
      </c>
      <c r="M1052" s="2" t="s">
        <v>315</v>
      </c>
      <c r="O1052" s="2" t="s">
        <v>2289</v>
      </c>
      <c r="P1052" s="2" t="str">
        <f ca="1">IFERROR(__xludf.DUMMYFUNCTION("GOOGLETRANSLATE(O1052,""en"",""bn"")"),"সিপ্পি টেওয়ারি")</f>
        <v>সিপ্পি টেওয়ারি</v>
      </c>
      <c r="Q1052" s="2" t="s">
        <v>1109</v>
      </c>
      <c r="S1052" s="2" t="s">
        <v>1109</v>
      </c>
      <c r="V1052" s="2" t="s">
        <v>2290</v>
      </c>
      <c r="W1052" s="2">
        <v>2</v>
      </c>
    </row>
    <row r="1053" spans="1:23" ht="15.75" customHeight="1" x14ac:dyDescent="0.35">
      <c r="A1053" s="2" t="s">
        <v>23</v>
      </c>
      <c r="L1053" s="2">
        <v>110</v>
      </c>
      <c r="M1053" s="2" t="s">
        <v>259</v>
      </c>
      <c r="O1053" s="2" t="s">
        <v>2291</v>
      </c>
      <c r="P1053" s="2" t="str">
        <f ca="1">IFERROR(__xludf.DUMMYFUNCTION("GOOGLETRANSLATE(O1053,""en"",""bn"")"),"হরিপদ বিশ্বাস")</f>
        <v>হরিপদ বিশ্বাস</v>
      </c>
      <c r="Q1053" s="2" t="s">
        <v>1544</v>
      </c>
      <c r="S1053" s="2" t="s">
        <v>1544</v>
      </c>
      <c r="V1053" s="2" t="s">
        <v>2292</v>
      </c>
      <c r="W1053" s="2">
        <v>2</v>
      </c>
    </row>
    <row r="1054" spans="1:23" ht="15.75" customHeight="1" x14ac:dyDescent="0.35">
      <c r="A1054" s="2" t="s">
        <v>23</v>
      </c>
      <c r="L1054" s="2">
        <v>107</v>
      </c>
      <c r="M1054" s="2" t="s">
        <v>32</v>
      </c>
      <c r="O1054" s="2" t="s">
        <v>2293</v>
      </c>
      <c r="P1054" s="2" t="str">
        <f ca="1">IFERROR(__xludf.DUMMYFUNCTION("GOOGLETRANSLATE(O1054,""en"",""bn"")"),"ইজাহারুল হক")</f>
        <v>ইজাহারুল হক</v>
      </c>
      <c r="Q1054" s="2" t="s">
        <v>1322</v>
      </c>
      <c r="S1054" s="2" t="s">
        <v>1322</v>
      </c>
      <c r="V1054" s="2" t="s">
        <v>2294</v>
      </c>
      <c r="W1054" s="2">
        <v>2</v>
      </c>
    </row>
    <row r="1055" spans="1:23" ht="15.75" customHeight="1" x14ac:dyDescent="0.35">
      <c r="A1055" s="2" t="s">
        <v>23</v>
      </c>
      <c r="L1055" s="2">
        <v>153</v>
      </c>
      <c r="M1055" s="2" t="s">
        <v>345</v>
      </c>
      <c r="O1055" s="2" t="s">
        <v>2295</v>
      </c>
      <c r="P1055" s="2" t="str">
        <f ca="1">IFERROR(__xludf.DUMMYFUNCTION("GOOGLETRANSLATE(O1055,""en"",""bn"")"),"অতনু দাস")</f>
        <v>অতনু দাস</v>
      </c>
      <c r="Q1055" s="2" t="s">
        <v>1322</v>
      </c>
      <c r="S1055" s="2" t="s">
        <v>1322</v>
      </c>
      <c r="V1055" s="2" t="s">
        <v>2296</v>
      </c>
      <c r="W1055" s="2">
        <v>2</v>
      </c>
    </row>
    <row r="1056" spans="1:23" ht="15.75" customHeight="1" x14ac:dyDescent="0.35">
      <c r="A1056" s="2" t="s">
        <v>23</v>
      </c>
      <c r="L1056" s="2">
        <v>115</v>
      </c>
      <c r="M1056" s="2" t="s">
        <v>84</v>
      </c>
      <c r="O1056" s="2" t="s">
        <v>2297</v>
      </c>
      <c r="P1056" s="2" t="str">
        <f ca="1">IFERROR(__xludf.DUMMYFUNCTION("GOOGLETRANSLATE(O1056,""en"",""bn"")"),"সুনীল নস্কর")</f>
        <v>সুনীল নস্কর</v>
      </c>
      <c r="Q1056" s="2" t="s">
        <v>92</v>
      </c>
      <c r="S1056" s="2" t="s">
        <v>92</v>
      </c>
      <c r="V1056" s="2" t="s">
        <v>2298</v>
      </c>
      <c r="W1056" s="2">
        <v>2</v>
      </c>
    </row>
    <row r="1057" spans="1:23" ht="15.75" customHeight="1" x14ac:dyDescent="0.35">
      <c r="A1057" s="2" t="s">
        <v>23</v>
      </c>
      <c r="L1057" s="2">
        <v>111</v>
      </c>
      <c r="M1057" s="2" t="s">
        <v>369</v>
      </c>
      <c r="O1057" s="2" t="s">
        <v>2299</v>
      </c>
      <c r="P1057" s="2" t="str">
        <f ca="1">IFERROR(__xludf.DUMMYFUNCTION("GOOGLETRANSLATE(O1057,""en"",""bn"")"),"বিশ্বনাথ দে")</f>
        <v>বিশ্বনাথ দে</v>
      </c>
      <c r="Q1057" s="2" t="s">
        <v>1322</v>
      </c>
      <c r="S1057" s="2" t="s">
        <v>1322</v>
      </c>
      <c r="V1057" s="2" t="s">
        <v>2300</v>
      </c>
      <c r="W1057" s="2">
        <v>2</v>
      </c>
    </row>
    <row r="1058" spans="1:23" ht="15.75" customHeight="1" x14ac:dyDescent="0.35">
      <c r="A1058" s="2" t="s">
        <v>23</v>
      </c>
      <c r="L1058" s="2">
        <v>261</v>
      </c>
      <c r="M1058" s="2" t="s">
        <v>184</v>
      </c>
      <c r="O1058" s="2" t="s">
        <v>2301</v>
      </c>
      <c r="P1058" s="2" t="str">
        <f ca="1">IFERROR(__xludf.DUMMYFUNCTION("GOOGLETRANSLATE(O1058,""en"",""bn"")"),"সঞ্জু পোরেল")</f>
        <v>সঞ্জু পোরেল</v>
      </c>
      <c r="Q1058" s="2" t="s">
        <v>1322</v>
      </c>
      <c r="S1058" s="2" t="s">
        <v>1322</v>
      </c>
      <c r="V1058" s="2" t="s">
        <v>2302</v>
      </c>
      <c r="W1058" s="2">
        <v>2</v>
      </c>
    </row>
    <row r="1059" spans="1:23" ht="15.75" customHeight="1" x14ac:dyDescent="0.35">
      <c r="A1059" s="2" t="s">
        <v>23</v>
      </c>
      <c r="L1059" s="2">
        <v>169</v>
      </c>
      <c r="M1059" s="2" t="s">
        <v>90</v>
      </c>
      <c r="O1059" s="2" t="s">
        <v>2303</v>
      </c>
      <c r="P1059" s="2" t="str">
        <f ca="1">IFERROR(__xludf.DUMMYFUNCTION("GOOGLETRANSLATE(O1059,""en"",""bn"")"),"কাঞ্চন সোনকার")</f>
        <v>কাঞ্চন সোনকার</v>
      </c>
      <c r="Q1059" s="2" t="s">
        <v>1313</v>
      </c>
      <c r="S1059" s="2" t="s">
        <v>1313</v>
      </c>
      <c r="V1059" s="2" t="s">
        <v>2304</v>
      </c>
      <c r="W1059" s="2">
        <v>2</v>
      </c>
    </row>
    <row r="1060" spans="1:23" ht="15.75" customHeight="1" x14ac:dyDescent="0.35">
      <c r="A1060" s="2" t="s">
        <v>23</v>
      </c>
      <c r="L1060" s="2">
        <v>126</v>
      </c>
      <c r="M1060" s="2" t="s">
        <v>133</v>
      </c>
      <c r="O1060" s="2" t="s">
        <v>2305</v>
      </c>
      <c r="P1060" s="2" t="str">
        <f ca="1">IFERROR(__xludf.DUMMYFUNCTION("GOOGLETRANSLATE(O1060,""en"",""bn"")"),"রেখারানী মৃধা")</f>
        <v>রেখারানী মৃধা</v>
      </c>
      <c r="Q1060" s="2" t="s">
        <v>1322</v>
      </c>
      <c r="S1060" s="2" t="s">
        <v>1322</v>
      </c>
      <c r="V1060" s="2" t="s">
        <v>2306</v>
      </c>
      <c r="W1060" s="2">
        <v>2</v>
      </c>
    </row>
    <row r="1061" spans="1:23" ht="15.75" customHeight="1" x14ac:dyDescent="0.35">
      <c r="A1061" s="2" t="s">
        <v>23</v>
      </c>
      <c r="L1061" s="2">
        <v>86</v>
      </c>
      <c r="M1061" s="2" t="s">
        <v>432</v>
      </c>
      <c r="O1061" s="2" t="s">
        <v>2307</v>
      </c>
      <c r="P1061" s="2" t="str">
        <f ca="1">IFERROR(__xludf.DUMMYFUNCTION("GOOGLETRANSLATE(O1061,""en"",""bn"")"),"তুহিন ইন্দ্র")</f>
        <v>তুহিন ইন্দ্র</v>
      </c>
      <c r="Q1061" s="2" t="s">
        <v>1322</v>
      </c>
      <c r="S1061" s="2" t="s">
        <v>1322</v>
      </c>
      <c r="V1061" s="2" t="s">
        <v>2308</v>
      </c>
      <c r="W1061" s="2">
        <v>2</v>
      </c>
    </row>
    <row r="1062" spans="1:23" ht="15.75" customHeight="1" x14ac:dyDescent="0.35">
      <c r="A1062" s="2" t="s">
        <v>23</v>
      </c>
      <c r="L1062" s="2">
        <v>196</v>
      </c>
      <c r="M1062" s="2" t="s">
        <v>148</v>
      </c>
      <c r="O1062" s="2" t="s">
        <v>2309</v>
      </c>
      <c r="P1062" s="2" t="str">
        <f ca="1">IFERROR(__xludf.DUMMYFUNCTION("GOOGLETRANSLATE(O1062,""en"",""bn"")"),"মধুমিতা ঘোষ ও মিঠুন ঘোষ")</f>
        <v>মধুমিতা ঘোষ ও মিঠুন ঘোষ</v>
      </c>
      <c r="Q1062" s="2" t="s">
        <v>1322</v>
      </c>
      <c r="S1062" s="2" t="s">
        <v>1322</v>
      </c>
      <c r="V1062" s="2" t="s">
        <v>2310</v>
      </c>
      <c r="W1062" s="2">
        <v>2</v>
      </c>
    </row>
    <row r="1063" spans="1:23" ht="15.75" customHeight="1" x14ac:dyDescent="0.35">
      <c r="A1063" s="2" t="s">
        <v>23</v>
      </c>
      <c r="L1063" s="2">
        <v>262</v>
      </c>
      <c r="M1063" s="2" t="s">
        <v>417</v>
      </c>
      <c r="O1063" s="2" t="s">
        <v>2311</v>
      </c>
      <c r="P1063" s="2" t="str">
        <f ca="1">IFERROR(__xludf.DUMMYFUNCTION("GOOGLETRANSLATE(O1063,""en"",""bn"")"),"রাজ কুমার মালিক")</f>
        <v>রাজ কুমার মালিক</v>
      </c>
      <c r="Q1063" s="2" t="s">
        <v>1322</v>
      </c>
      <c r="S1063" s="2" t="s">
        <v>1322</v>
      </c>
      <c r="V1063" s="2" t="s">
        <v>2312</v>
      </c>
      <c r="W1063" s="2">
        <v>2</v>
      </c>
    </row>
    <row r="1064" spans="1:23" ht="15.75" customHeight="1" x14ac:dyDescent="0.35">
      <c r="A1064" s="2" t="s">
        <v>23</v>
      </c>
      <c r="L1064" s="2">
        <v>84</v>
      </c>
      <c r="M1064" s="2" t="s">
        <v>297</v>
      </c>
      <c r="O1064" s="2" t="s">
        <v>2313</v>
      </c>
      <c r="P1064" s="2" t="str">
        <f ca="1">IFERROR(__xludf.DUMMYFUNCTION("GOOGLETRANSLATE(O1064,""en"",""bn"")"),"নিতাই রাড়হি")</f>
        <v>নিতাই রাড়হি</v>
      </c>
      <c r="Q1064" s="2" t="s">
        <v>1322</v>
      </c>
      <c r="S1064" s="2" t="s">
        <v>1322</v>
      </c>
      <c r="V1064" s="2" t="s">
        <v>2314</v>
      </c>
      <c r="W1064" s="2">
        <v>2</v>
      </c>
    </row>
    <row r="1065" spans="1:23" ht="15.75" customHeight="1" x14ac:dyDescent="0.35">
      <c r="A1065" s="2" t="s">
        <v>23</v>
      </c>
      <c r="L1065" s="2">
        <v>95</v>
      </c>
      <c r="M1065" s="2" t="s">
        <v>142</v>
      </c>
      <c r="O1065" s="2" t="s">
        <v>2315</v>
      </c>
      <c r="P1065" s="2" t="str">
        <f ca="1">IFERROR(__xludf.DUMMYFUNCTION("GOOGLETRANSLATE(O1065,""en"",""bn"")"),"অশোক কুমার রায়")</f>
        <v>অশোক কুমার রায়</v>
      </c>
      <c r="Q1065" s="2" t="s">
        <v>1322</v>
      </c>
      <c r="S1065" s="2" t="s">
        <v>1322</v>
      </c>
      <c r="V1065" s="2" t="s">
        <v>2316</v>
      </c>
      <c r="W1065" s="2">
        <v>2</v>
      </c>
    </row>
    <row r="1066" spans="1:23" ht="15.75" customHeight="1" x14ac:dyDescent="0.35">
      <c r="A1066" s="2" t="s">
        <v>23</v>
      </c>
      <c r="L1066" s="2">
        <v>93</v>
      </c>
      <c r="M1066" s="2" t="s">
        <v>187</v>
      </c>
      <c r="O1066" s="2" t="s">
        <v>2317</v>
      </c>
      <c r="P1066" s="2" t="str">
        <f ca="1">IFERROR(__xludf.DUMMYFUNCTION("GOOGLETRANSLATE(O1066,""en"",""bn"")"),"স্বপন কুমার রায়")</f>
        <v>স্বপন কুমার রায়</v>
      </c>
      <c r="Q1066" s="2" t="s">
        <v>2318</v>
      </c>
      <c r="S1066" s="2" t="s">
        <v>2318</v>
      </c>
      <c r="V1066" s="2" t="s">
        <v>2319</v>
      </c>
      <c r="W1066" s="2">
        <v>2</v>
      </c>
    </row>
    <row r="1067" spans="1:23" ht="15.75" customHeight="1" x14ac:dyDescent="0.35">
      <c r="A1067" s="2" t="s">
        <v>23</v>
      </c>
      <c r="L1067" s="2">
        <v>151</v>
      </c>
      <c r="M1067" s="2" t="s">
        <v>81</v>
      </c>
      <c r="O1067" s="2" t="s">
        <v>2320</v>
      </c>
      <c r="P1067" s="2" t="str">
        <f ca="1">IFERROR(__xludf.DUMMYFUNCTION("GOOGLETRANSLATE(O1067,""en"",""bn"")"),"আবুল কাশেম")</f>
        <v>আবুল কাশেম</v>
      </c>
      <c r="Q1067" s="2" t="s">
        <v>1322</v>
      </c>
      <c r="S1067" s="2" t="s">
        <v>1322</v>
      </c>
      <c r="V1067" s="2" t="s">
        <v>2321</v>
      </c>
      <c r="W1067" s="2">
        <v>2</v>
      </c>
    </row>
    <row r="1068" spans="1:23" ht="15.75" customHeight="1" x14ac:dyDescent="0.35">
      <c r="A1068" s="2" t="s">
        <v>23</v>
      </c>
      <c r="L1068" s="2">
        <v>267</v>
      </c>
      <c r="M1068" s="2" t="s">
        <v>54</v>
      </c>
      <c r="O1068" s="2" t="s">
        <v>2322</v>
      </c>
      <c r="P1068" s="2" t="str">
        <f ca="1">IFERROR(__xludf.DUMMYFUNCTION("GOOGLETRANSLATE(O1068,""en"",""bn"")"),"বুদ্ধদেব (আলী)")</f>
        <v>বুদ্ধদেব (আলী)</v>
      </c>
      <c r="Q1068" s="2" t="s">
        <v>1322</v>
      </c>
      <c r="S1068" s="2" t="s">
        <v>1322</v>
      </c>
      <c r="V1068" s="2" t="s">
        <v>2323</v>
      </c>
      <c r="W1068" s="2">
        <v>2</v>
      </c>
    </row>
    <row r="1069" spans="1:23" ht="15.75" customHeight="1" x14ac:dyDescent="0.35">
      <c r="A1069" s="2" t="s">
        <v>23</v>
      </c>
      <c r="L1069" s="2">
        <v>163</v>
      </c>
      <c r="M1069" s="2" t="s">
        <v>363</v>
      </c>
      <c r="O1069" s="2" t="s">
        <v>2324</v>
      </c>
      <c r="P1069" s="2" t="str">
        <f ca="1">IFERROR(__xludf.DUMMYFUNCTION("GOOGLETRANSLATE(O1069,""en"",""bn"")"),"অশোক দাস")</f>
        <v>অশোক দাস</v>
      </c>
      <c r="Q1069" s="2" t="s">
        <v>1322</v>
      </c>
      <c r="S1069" s="2" t="s">
        <v>1322</v>
      </c>
      <c r="V1069" s="2" t="s">
        <v>2325</v>
      </c>
      <c r="W1069" s="2">
        <v>2</v>
      </c>
    </row>
    <row r="1070" spans="1:23" ht="15.75" customHeight="1" x14ac:dyDescent="0.35">
      <c r="A1070" s="2" t="s">
        <v>23</v>
      </c>
      <c r="L1070" s="2">
        <v>195</v>
      </c>
      <c r="M1070" s="2" t="s">
        <v>235</v>
      </c>
      <c r="O1070" s="2" t="s">
        <v>2326</v>
      </c>
      <c r="P1070" s="2" t="str">
        <f ca="1">IFERROR(__xludf.DUMMYFUNCTION("GOOGLETRANSLATE(O1070,""en"",""bn"")"),"তাপস পল")</f>
        <v>তাপস পল</v>
      </c>
      <c r="Q1070" s="2" t="s">
        <v>1322</v>
      </c>
      <c r="S1070" s="2" t="s">
        <v>1322</v>
      </c>
      <c r="V1070" s="2" t="s">
        <v>2327</v>
      </c>
      <c r="W1070" s="2">
        <v>2</v>
      </c>
    </row>
    <row r="1071" spans="1:23" ht="15.75" customHeight="1" x14ac:dyDescent="0.35">
      <c r="A1071" s="2" t="s">
        <v>23</v>
      </c>
      <c r="L1071" s="2">
        <v>120</v>
      </c>
      <c r="M1071" s="2" t="s">
        <v>309</v>
      </c>
      <c r="O1071" s="2" t="s">
        <v>2328</v>
      </c>
      <c r="P1071" s="2" t="str">
        <f ca="1">IFERROR(__xludf.DUMMYFUNCTION("GOOGLETRANSLATE(O1071,""en"",""bn"")"),"এমডি মাফুজুদ্দিন মন্ডল")</f>
        <v>এমডি মাফুজুদ্দিন মন্ডল</v>
      </c>
      <c r="Q1071" s="2" t="s">
        <v>2029</v>
      </c>
      <c r="S1071" s="2" t="s">
        <v>2029</v>
      </c>
      <c r="V1071" s="2" t="s">
        <v>2329</v>
      </c>
      <c r="W1071" s="2">
        <v>2</v>
      </c>
    </row>
    <row r="1072" spans="1:23" ht="15.75" customHeight="1" x14ac:dyDescent="0.35">
      <c r="A1072" s="2" t="s">
        <v>23</v>
      </c>
      <c r="L1072" s="2">
        <v>177</v>
      </c>
      <c r="M1072" s="2" t="s">
        <v>66</v>
      </c>
      <c r="O1072" s="2" t="s">
        <v>2330</v>
      </c>
      <c r="P1072" s="2" t="str">
        <f ca="1">IFERROR(__xludf.DUMMYFUNCTION("GOOGLETRANSLATE(O1072,""en"",""bn"")"),"নির্মল মাজি")</f>
        <v>নির্মল মাজি</v>
      </c>
      <c r="Q1072" s="2" t="s">
        <v>1322</v>
      </c>
      <c r="S1072" s="2" t="s">
        <v>1322</v>
      </c>
      <c r="V1072" s="2" t="s">
        <v>2331</v>
      </c>
      <c r="W1072" s="2">
        <v>2</v>
      </c>
    </row>
    <row r="1073" spans="1:23" ht="15.75" customHeight="1" x14ac:dyDescent="0.35">
      <c r="A1073" s="2" t="s">
        <v>23</v>
      </c>
      <c r="L1073" s="2">
        <v>146</v>
      </c>
      <c r="M1073" s="2" t="s">
        <v>75</v>
      </c>
      <c r="O1073" s="2" t="s">
        <v>2332</v>
      </c>
      <c r="P1073" s="2" t="str">
        <f ca="1">IFERROR(__xludf.DUMMYFUNCTION("GOOGLETRANSLATE(O1073,""en"",""bn"")"),"হরণ মন্ডল")</f>
        <v>হরণ মন্ডল</v>
      </c>
      <c r="Q1073" s="2" t="s">
        <v>1322</v>
      </c>
      <c r="S1073" s="2" t="s">
        <v>1322</v>
      </c>
      <c r="V1073" s="2" t="s">
        <v>2333</v>
      </c>
      <c r="W1073" s="2">
        <v>2</v>
      </c>
    </row>
    <row r="1074" spans="1:23" ht="15.75" customHeight="1" x14ac:dyDescent="0.35">
      <c r="A1074" s="2" t="s">
        <v>23</v>
      </c>
      <c r="L1074" s="2">
        <v>119</v>
      </c>
      <c r="M1074" s="2" t="s">
        <v>327</v>
      </c>
      <c r="O1074" s="2" t="s">
        <v>2334</v>
      </c>
      <c r="P1074" s="2" t="str">
        <f ca="1">IFERROR(__xludf.DUMMYFUNCTION("GOOGLETRANSLATE(O1074,""en"",""bn"")"),"দেবাশিস বিশ্বাস")</f>
        <v>দেবাশিস বিশ্বাস</v>
      </c>
      <c r="Q1074" s="2" t="s">
        <v>1375</v>
      </c>
      <c r="S1074" s="2" t="s">
        <v>1375</v>
      </c>
      <c r="V1074" s="2" t="s">
        <v>2335</v>
      </c>
      <c r="W1074" s="2">
        <v>2</v>
      </c>
    </row>
    <row r="1075" spans="1:23" ht="15.75" customHeight="1" x14ac:dyDescent="0.35">
      <c r="A1075" s="2" t="s">
        <v>23</v>
      </c>
      <c r="L1075" s="2">
        <v>90</v>
      </c>
      <c r="M1075" s="2" t="s">
        <v>280</v>
      </c>
      <c r="O1075" s="2" t="s">
        <v>2336</v>
      </c>
      <c r="P1075" s="2" t="str">
        <f ca="1">IFERROR(__xludf.DUMMYFUNCTION("GOOGLETRANSLATE(O1075,""en"",""bn"")"),"শুভম মন্ডল")</f>
        <v>শুভম মন্ডল</v>
      </c>
      <c r="Q1075" s="2" t="s">
        <v>1322</v>
      </c>
      <c r="S1075" s="2" t="s">
        <v>1322</v>
      </c>
      <c r="V1075" s="2" t="s">
        <v>2337</v>
      </c>
      <c r="W1075" s="2">
        <v>2</v>
      </c>
    </row>
    <row r="1076" spans="1:23" ht="15.75" customHeight="1" x14ac:dyDescent="0.35">
      <c r="A1076" s="2" t="s">
        <v>23</v>
      </c>
      <c r="L1076" s="2">
        <v>190</v>
      </c>
      <c r="M1076" s="2" t="s">
        <v>300</v>
      </c>
      <c r="O1076" s="2" t="s">
        <v>2338</v>
      </c>
      <c r="P1076" s="2" t="str">
        <f ca="1">IFERROR(__xludf.DUMMYFUNCTION("GOOGLETRANSLATE(O1076,""en"",""bn"")"),"দীপক পাত্র")</f>
        <v>দীপক পাত্র</v>
      </c>
      <c r="Q1076" s="2" t="s">
        <v>1322</v>
      </c>
      <c r="S1076" s="2" t="s">
        <v>1322</v>
      </c>
      <c r="V1076" s="2" t="s">
        <v>2339</v>
      </c>
      <c r="W1076" s="2">
        <v>2</v>
      </c>
    </row>
    <row r="1077" spans="1:23" ht="15.75" customHeight="1" x14ac:dyDescent="0.35">
      <c r="A1077" s="2" t="s">
        <v>23</v>
      </c>
      <c r="L1077" s="2">
        <v>155</v>
      </c>
      <c r="M1077" s="2" t="s">
        <v>262</v>
      </c>
      <c r="O1077" s="2" t="s">
        <v>2340</v>
      </c>
      <c r="P1077" s="2" t="str">
        <f ca="1">IFERROR(__xludf.DUMMYFUNCTION("GOOGLETRANSLATE(O1077,""en"",""bn"")"),"সমীর কুমার মন্ডল")</f>
        <v>সমীর কুমার মন্ডল</v>
      </c>
      <c r="Q1077" s="2" t="s">
        <v>1322</v>
      </c>
      <c r="S1077" s="2" t="s">
        <v>1322</v>
      </c>
      <c r="V1077" s="2" t="s">
        <v>2341</v>
      </c>
      <c r="W1077" s="2">
        <v>2</v>
      </c>
    </row>
    <row r="1078" spans="1:23" ht="15.75" customHeight="1" x14ac:dyDescent="0.35">
      <c r="A1078" s="2" t="s">
        <v>23</v>
      </c>
      <c r="L1078" s="2">
        <v>272</v>
      </c>
      <c r="M1078" s="2" t="s">
        <v>357</v>
      </c>
      <c r="O1078" s="2" t="s">
        <v>2342</v>
      </c>
      <c r="P1078" s="2" t="str">
        <f ca="1">IFERROR(__xludf.DUMMYFUNCTION("GOOGLETRANSLATE(O1078,""en"",""bn"")"),"শেখ মোজাম্মেল হক (মনি)")</f>
        <v>শেখ মোজাম্মেল হক (মনি)</v>
      </c>
      <c r="Q1078" s="2" t="s">
        <v>92</v>
      </c>
      <c r="S1078" s="2" t="s">
        <v>92</v>
      </c>
      <c r="V1078" s="2" t="s">
        <v>2343</v>
      </c>
      <c r="W1078" s="2">
        <v>2</v>
      </c>
    </row>
    <row r="1079" spans="1:23" ht="15.75" customHeight="1" x14ac:dyDescent="0.35">
      <c r="A1079" s="2" t="s">
        <v>23</v>
      </c>
      <c r="L1079" s="2">
        <v>94</v>
      </c>
      <c r="M1079" s="2" t="s">
        <v>253</v>
      </c>
      <c r="O1079" s="2" t="s">
        <v>2344</v>
      </c>
      <c r="P1079" s="2" t="str">
        <f ca="1">IFERROR(__xludf.DUMMYFUNCTION("GOOGLETRANSLATE(O1079,""en"",""bn"")"),"তুষার কান্তি হালদার")</f>
        <v>তুষার কান্তি হালদার</v>
      </c>
      <c r="Q1079" s="2" t="s">
        <v>1322</v>
      </c>
      <c r="S1079" s="2" t="s">
        <v>1322</v>
      </c>
      <c r="V1079" s="2" t="s">
        <v>2345</v>
      </c>
      <c r="W1079" s="2">
        <v>2</v>
      </c>
    </row>
    <row r="1080" spans="1:23" ht="15.75" customHeight="1" x14ac:dyDescent="0.35">
      <c r="A1080" s="2" t="s">
        <v>23</v>
      </c>
      <c r="L1080" s="2">
        <v>161</v>
      </c>
      <c r="M1080" s="2" t="s">
        <v>112</v>
      </c>
      <c r="O1080" s="2" t="s">
        <v>2346</v>
      </c>
      <c r="P1080" s="2" t="str">
        <f ca="1">IFERROR(__xludf.DUMMYFUNCTION("GOOGLETRANSLATE(O1080,""en"",""bn"")"),"গোবিন্দ নস্কর")</f>
        <v>গোবিন্দ নস্কর</v>
      </c>
      <c r="Q1080" s="2" t="s">
        <v>1322</v>
      </c>
      <c r="S1080" s="2" t="s">
        <v>1322</v>
      </c>
      <c r="V1080" s="2" t="s">
        <v>2347</v>
      </c>
      <c r="W1080" s="2">
        <v>2</v>
      </c>
    </row>
    <row r="1081" spans="1:23" ht="15.75" customHeight="1" x14ac:dyDescent="0.35">
      <c r="A1081" s="2" t="s">
        <v>23</v>
      </c>
      <c r="L1081" s="2">
        <v>102</v>
      </c>
      <c r="M1081" s="2" t="s">
        <v>169</v>
      </c>
      <c r="O1081" s="2" t="s">
        <v>2348</v>
      </c>
      <c r="P1081" s="2" t="str">
        <f ca="1">IFERROR(__xludf.DUMMYFUNCTION("GOOGLETRANSLATE(O1081,""en"",""bn"")"),"বিশ্বজিৎ মাইতি")</f>
        <v>বিশ্বজিৎ মাইতি</v>
      </c>
      <c r="Q1081" s="2" t="s">
        <v>1047</v>
      </c>
      <c r="S1081" s="2" t="s">
        <v>1047</v>
      </c>
      <c r="V1081" s="2" t="s">
        <v>2349</v>
      </c>
      <c r="W1081" s="2">
        <v>2</v>
      </c>
    </row>
    <row r="1082" spans="1:23" ht="15.75" customHeight="1" x14ac:dyDescent="0.35">
      <c r="A1082" s="2" t="s">
        <v>23</v>
      </c>
      <c r="L1082" s="2">
        <v>81</v>
      </c>
      <c r="M1082" s="2" t="s">
        <v>217</v>
      </c>
      <c r="O1082" s="2" t="s">
        <v>2350</v>
      </c>
      <c r="P1082" s="2" t="str">
        <f ca="1">IFERROR(__xludf.DUMMYFUNCTION("GOOGLETRANSLATE(O1082,""en"",""bn"")"),"স্বাধিন চৌধুরী")</f>
        <v>স্বাধিন চৌধুরী</v>
      </c>
      <c r="Q1082" s="2" t="s">
        <v>1322</v>
      </c>
      <c r="S1082" s="2" t="s">
        <v>1322</v>
      </c>
      <c r="V1082" s="2" t="s">
        <v>2351</v>
      </c>
      <c r="W1082" s="2">
        <v>2</v>
      </c>
    </row>
    <row r="1083" spans="1:23" ht="15.75" customHeight="1" x14ac:dyDescent="0.35">
      <c r="A1083" s="2" t="s">
        <v>23</v>
      </c>
      <c r="L1083" s="2">
        <v>134</v>
      </c>
      <c r="M1083" s="2" t="s">
        <v>274</v>
      </c>
      <c r="O1083" s="2" t="s">
        <v>2352</v>
      </c>
      <c r="P1083" s="2" t="str">
        <f ca="1">IFERROR(__xludf.DUMMYFUNCTION("GOOGLETRANSLATE(O1083,""en"",""bn"")"),"তাপস মন্ডল, পিতা-অশোক মন্ডল")</f>
        <v>তাপস মন্ডল, পিতা-অশোক মন্ডল</v>
      </c>
      <c r="Q1083" s="2" t="s">
        <v>1322</v>
      </c>
      <c r="S1083" s="2" t="s">
        <v>1322</v>
      </c>
      <c r="V1083" s="2" t="s">
        <v>2353</v>
      </c>
      <c r="W1083" s="2">
        <v>2</v>
      </c>
    </row>
    <row r="1084" spans="1:23" ht="15.75" customHeight="1" x14ac:dyDescent="0.35">
      <c r="A1084" s="2" t="s">
        <v>23</v>
      </c>
      <c r="L1084" s="2">
        <v>192</v>
      </c>
      <c r="M1084" s="2" t="s">
        <v>172</v>
      </c>
      <c r="O1084" s="2" t="s">
        <v>2354</v>
      </c>
      <c r="P1084" s="2" t="str">
        <f ca="1">IFERROR(__xludf.DUMMYFUNCTION("GOOGLETRANSLATE(O1084,""en"",""bn"")"),"কাজল বাহক")</f>
        <v>কাজল বাহক</v>
      </c>
      <c r="Q1084" s="2" t="s">
        <v>1322</v>
      </c>
      <c r="S1084" s="2" t="s">
        <v>1322</v>
      </c>
      <c r="V1084" s="2" t="s">
        <v>2355</v>
      </c>
      <c r="W1084" s="2">
        <v>2</v>
      </c>
    </row>
    <row r="1085" spans="1:23" ht="15.75" customHeight="1" x14ac:dyDescent="0.35">
      <c r="A1085" s="2" t="s">
        <v>23</v>
      </c>
      <c r="L1085" s="2">
        <v>101</v>
      </c>
      <c r="M1085" s="2" t="s">
        <v>154</v>
      </c>
      <c r="O1085" s="2" t="s">
        <v>1471</v>
      </c>
      <c r="P1085" s="2" t="str">
        <f ca="1">IFERROR(__xludf.DUMMYFUNCTION("GOOGLETRANSLATE(O1085,""en"",""bn"")"),"তাপস ব্যানার্জী")</f>
        <v>তাপস ব্যানার্জী</v>
      </c>
      <c r="Q1085" s="2" t="s">
        <v>1322</v>
      </c>
      <c r="S1085" s="2" t="s">
        <v>1322</v>
      </c>
      <c r="V1085" s="2" t="s">
        <v>2356</v>
      </c>
      <c r="W1085" s="2">
        <v>2</v>
      </c>
    </row>
    <row r="1086" spans="1:23" ht="15.75" customHeight="1" x14ac:dyDescent="0.35">
      <c r="A1086" s="2" t="s">
        <v>23</v>
      </c>
      <c r="L1086" s="2">
        <v>104</v>
      </c>
      <c r="M1086" s="2" t="s">
        <v>396</v>
      </c>
      <c r="O1086" s="2" t="s">
        <v>2357</v>
      </c>
      <c r="P1086" s="2" t="str">
        <f ca="1">IFERROR(__xludf.DUMMYFUNCTION("GOOGLETRANSLATE(O1086,""en"",""bn"")"),"মামনি অধিকারী (বৈদ্য)")</f>
        <v>মামনি অধিকারী (বৈদ্য)</v>
      </c>
      <c r="Q1086" s="2" t="s">
        <v>1322</v>
      </c>
      <c r="S1086" s="2" t="s">
        <v>1322</v>
      </c>
      <c r="V1086" s="2" t="s">
        <v>2358</v>
      </c>
      <c r="W1086" s="2">
        <v>2</v>
      </c>
    </row>
    <row r="1087" spans="1:23" ht="15.75" customHeight="1" x14ac:dyDescent="0.35">
      <c r="A1087" s="2" t="s">
        <v>23</v>
      </c>
      <c r="L1087" s="2">
        <v>106</v>
      </c>
      <c r="M1087" s="2" t="s">
        <v>283</v>
      </c>
      <c r="O1087" s="2" t="s">
        <v>2359</v>
      </c>
      <c r="P1087" s="2" t="str">
        <f ca="1">IFERROR(__xludf.DUMMYFUNCTION("GOOGLETRANSLATE(O1087,""en"",""bn"")"),"প্রমোদ সিং")</f>
        <v>প্রমোদ সিং</v>
      </c>
      <c r="Q1087" s="2" t="s">
        <v>1322</v>
      </c>
      <c r="S1087" s="2" t="s">
        <v>1322</v>
      </c>
      <c r="V1087" s="2" t="s">
        <v>2360</v>
      </c>
      <c r="W1087" s="2">
        <v>2</v>
      </c>
    </row>
    <row r="1088" spans="1:23" ht="15.75" customHeight="1" x14ac:dyDescent="0.35">
      <c r="A1088" s="2" t="s">
        <v>23</v>
      </c>
      <c r="L1088" s="2">
        <v>127</v>
      </c>
      <c r="M1088" s="2" t="s">
        <v>289</v>
      </c>
      <c r="O1088" s="2" t="s">
        <v>2361</v>
      </c>
      <c r="P1088" s="2" t="str">
        <f ca="1">IFERROR(__xludf.DUMMYFUNCTION("GOOGLETRANSLATE(O1088,""en"",""bn"")"),"প্রোসান্ত মৃধা")</f>
        <v>প্রোসান্ত মৃধা</v>
      </c>
      <c r="Q1088" s="2" t="s">
        <v>1322</v>
      </c>
      <c r="S1088" s="2" t="s">
        <v>1322</v>
      </c>
      <c r="V1088" s="2" t="s">
        <v>2362</v>
      </c>
      <c r="W1088" s="2">
        <v>2</v>
      </c>
    </row>
    <row r="1089" spans="1:23" ht="15.75" customHeight="1" x14ac:dyDescent="0.35">
      <c r="A1089" s="2" t="s">
        <v>23</v>
      </c>
      <c r="L1089" s="2">
        <v>266</v>
      </c>
      <c r="M1089" s="2" t="s">
        <v>214</v>
      </c>
      <c r="O1089" s="2" t="s">
        <v>2363</v>
      </c>
      <c r="P1089" s="2" t="str">
        <f ca="1">IFERROR(__xludf.DUMMYFUNCTION("GOOGLETRANSLATE(O1089,""en"",""bn"")"),"দীপালি বাউরি")</f>
        <v>দীপালি বাউরি</v>
      </c>
      <c r="Q1089" s="2" t="s">
        <v>1322</v>
      </c>
      <c r="S1089" s="2" t="s">
        <v>1322</v>
      </c>
      <c r="V1089" s="2" t="s">
        <v>2364</v>
      </c>
      <c r="W1089" s="2">
        <v>2</v>
      </c>
    </row>
    <row r="1090" spans="1:23" ht="15.75" customHeight="1" x14ac:dyDescent="0.35">
      <c r="A1090" s="2" t="s">
        <v>23</v>
      </c>
      <c r="L1090" s="2">
        <v>105</v>
      </c>
      <c r="M1090" s="2" t="s">
        <v>342</v>
      </c>
      <c r="O1090" s="2" t="s">
        <v>2365</v>
      </c>
      <c r="P1090" s="2" t="str">
        <f ca="1">IFERROR(__xludf.DUMMYFUNCTION("GOOGLETRANSLATE(O1090,""en"",""bn"")"),"গৌরব প্রসাদ")</f>
        <v>গৌরব প্রসাদ</v>
      </c>
      <c r="Q1090" s="2" t="s">
        <v>1322</v>
      </c>
      <c r="S1090" s="2" t="s">
        <v>1322</v>
      </c>
      <c r="V1090" s="2" t="s">
        <v>2366</v>
      </c>
      <c r="W1090" s="2">
        <v>2</v>
      </c>
    </row>
    <row r="1091" spans="1:23" ht="15.75" customHeight="1" x14ac:dyDescent="0.35">
      <c r="A1091" s="2" t="s">
        <v>23</v>
      </c>
      <c r="L1091" s="2">
        <v>85</v>
      </c>
      <c r="M1091" s="2" t="s">
        <v>387</v>
      </c>
      <c r="O1091" s="2" t="s">
        <v>2367</v>
      </c>
      <c r="P1091" s="2" t="str">
        <f ca="1">IFERROR(__xludf.DUMMYFUNCTION("GOOGLETRANSLATE(O1091,""en"",""bn"")"),"একরামুল শেখ")</f>
        <v>একরামুল শেখ</v>
      </c>
      <c r="Q1091" s="2" t="s">
        <v>1322</v>
      </c>
      <c r="S1091" s="2" t="s">
        <v>1322</v>
      </c>
      <c r="V1091" s="2" t="s">
        <v>2368</v>
      </c>
      <c r="W1091" s="2">
        <v>2</v>
      </c>
    </row>
    <row r="1092" spans="1:23" ht="15.75" customHeight="1" x14ac:dyDescent="0.35">
      <c r="A1092" s="2" t="s">
        <v>23</v>
      </c>
      <c r="L1092" s="2">
        <v>183</v>
      </c>
      <c r="M1092" s="2" t="s">
        <v>295</v>
      </c>
      <c r="O1092" s="2" t="s">
        <v>2369</v>
      </c>
      <c r="P1092" s="2" t="str">
        <f ca="1">IFERROR(__xludf.DUMMYFUNCTION("GOOGLETRANSLATE(O1092,""en"",""bn"")"),"জ্যোৎস্না রঙ্গ")</f>
        <v>জ্যোৎস্না রঙ্গ</v>
      </c>
      <c r="Q1092" s="2" t="s">
        <v>1322</v>
      </c>
      <c r="S1092" s="2" t="s">
        <v>1322</v>
      </c>
      <c r="V1092" s="2" t="s">
        <v>2370</v>
      </c>
      <c r="W1092" s="2">
        <v>2</v>
      </c>
    </row>
    <row r="1093" spans="1:23" ht="15.75" customHeight="1" x14ac:dyDescent="0.35">
      <c r="A1093" s="2" t="s">
        <v>23</v>
      </c>
      <c r="L1093" s="2">
        <v>89</v>
      </c>
      <c r="M1093" s="2" t="s">
        <v>426</v>
      </c>
      <c r="O1093" s="2" t="s">
        <v>2052</v>
      </c>
      <c r="P1093" s="2" t="str">
        <f ca="1">IFERROR(__xludf.DUMMYFUNCTION("GOOGLETRANSLATE(O1093,""en"",""bn"")"),"আসিম বিশ্বাস")</f>
        <v>আসিম বিশ্বাস</v>
      </c>
      <c r="Q1093" s="2" t="s">
        <v>1322</v>
      </c>
      <c r="S1093" s="2" t="s">
        <v>1322</v>
      </c>
      <c r="V1093" s="2" t="s">
        <v>2371</v>
      </c>
      <c r="W1093" s="2">
        <v>2</v>
      </c>
    </row>
    <row r="1094" spans="1:23" ht="15.75" customHeight="1" x14ac:dyDescent="0.35">
      <c r="A1094" s="2" t="s">
        <v>23</v>
      </c>
      <c r="L1094" s="2">
        <v>96</v>
      </c>
      <c r="M1094" s="2" t="s">
        <v>229</v>
      </c>
      <c r="O1094" s="2" t="s">
        <v>2372</v>
      </c>
      <c r="P1094" s="2" t="str">
        <f ca="1">IFERROR(__xludf.DUMMYFUNCTION("GOOGLETRANSLATE(O1094,""en"",""bn"")"),"পবিত্র রায়")</f>
        <v>পবিত্র রায়</v>
      </c>
      <c r="Q1094" s="2" t="s">
        <v>1322</v>
      </c>
      <c r="S1094" s="2" t="s">
        <v>1322</v>
      </c>
      <c r="V1094" s="2" t="s">
        <v>2373</v>
      </c>
      <c r="W1094" s="2">
        <v>2</v>
      </c>
    </row>
    <row r="1095" spans="1:23" ht="15.75" customHeight="1" x14ac:dyDescent="0.35">
      <c r="A1095" s="2" t="s">
        <v>23</v>
      </c>
      <c r="L1095" s="2">
        <v>166</v>
      </c>
      <c r="M1095" s="2" t="s">
        <v>247</v>
      </c>
      <c r="O1095" s="2" t="s">
        <v>2374</v>
      </c>
      <c r="P1095" s="2" t="str">
        <f ca="1">IFERROR(__xludf.DUMMYFUNCTION("GOOGLETRANSLATE(O1095,""en"",""bn"")"),"বার্নালি ঘোষ")</f>
        <v>বার্নালি ঘোষ</v>
      </c>
      <c r="Q1095" s="2" t="s">
        <v>1322</v>
      </c>
      <c r="S1095" s="2" t="s">
        <v>1322</v>
      </c>
      <c r="V1095" s="2" t="s">
        <v>2375</v>
      </c>
      <c r="W1095" s="2">
        <v>2</v>
      </c>
    </row>
    <row r="1096" spans="1:23" ht="15.75" customHeight="1" x14ac:dyDescent="0.35">
      <c r="A1096" s="2" t="s">
        <v>23</v>
      </c>
      <c r="L1096" s="2">
        <v>129</v>
      </c>
      <c r="M1096" s="2" t="s">
        <v>24</v>
      </c>
      <c r="O1096" s="2" t="s">
        <v>2376</v>
      </c>
      <c r="P1096" s="2" t="str">
        <f ca="1">IFERROR(__xludf.DUMMYFUNCTION("GOOGLETRANSLATE(O1096,""en"",""bn"")"),"মাধবী বিশ্বাস")</f>
        <v>মাধবী বিশ্বাস</v>
      </c>
      <c r="Q1096" s="2" t="s">
        <v>1322</v>
      </c>
      <c r="S1096" s="2" t="s">
        <v>1322</v>
      </c>
      <c r="V1096" s="2" t="s">
        <v>2377</v>
      </c>
      <c r="W1096" s="2">
        <v>2</v>
      </c>
    </row>
    <row r="1097" spans="1:23" ht="15.75" customHeight="1" x14ac:dyDescent="0.35">
      <c r="A1097" s="2" t="s">
        <v>23</v>
      </c>
      <c r="L1097" s="2">
        <v>174</v>
      </c>
      <c r="M1097" s="2" t="s">
        <v>256</v>
      </c>
      <c r="O1097" s="2" t="s">
        <v>2378</v>
      </c>
      <c r="P1097" s="2" t="str">
        <f ca="1">IFERROR(__xludf.DUMMYFUNCTION("GOOGLETRANSLATE(O1097,""en"",""bn"")"),"বিমল কান্তি নস্কর")</f>
        <v>বিমল কান্তি নস্কর</v>
      </c>
      <c r="Q1097" s="2" t="s">
        <v>1322</v>
      </c>
      <c r="S1097" s="2" t="s">
        <v>1322</v>
      </c>
      <c r="V1097" s="2" t="s">
        <v>2379</v>
      </c>
      <c r="W1097" s="2">
        <v>2</v>
      </c>
    </row>
    <row r="1098" spans="1:23" ht="15.75" customHeight="1" x14ac:dyDescent="0.35">
      <c r="A1098" s="2" t="s">
        <v>23</v>
      </c>
      <c r="L1098" s="2">
        <v>164</v>
      </c>
      <c r="M1098" s="2" t="s">
        <v>402</v>
      </c>
      <c r="O1098" s="2" t="s">
        <v>2380</v>
      </c>
      <c r="P1098" s="2" t="str">
        <f ca="1">IFERROR(__xludf.DUMMYFUNCTION("GOOGLETRANSLATE(O1098,""en"",""bn"")"),"নাজির আহমেদ")</f>
        <v>নাজির আহমেদ</v>
      </c>
      <c r="Q1098" s="2" t="s">
        <v>1322</v>
      </c>
      <c r="S1098" s="2" t="s">
        <v>1322</v>
      </c>
      <c r="V1098" s="2" t="s">
        <v>2381</v>
      </c>
      <c r="W1098" s="2">
        <v>2</v>
      </c>
    </row>
    <row r="1099" spans="1:23" ht="15.75" customHeight="1" x14ac:dyDescent="0.35">
      <c r="A1099" s="2" t="s">
        <v>23</v>
      </c>
      <c r="L1099" s="2">
        <v>202</v>
      </c>
      <c r="M1099" s="2" t="s">
        <v>312</v>
      </c>
      <c r="O1099" s="2" t="s">
        <v>2382</v>
      </c>
      <c r="P1099" s="2" t="str">
        <f ca="1">IFERROR(__xludf.DUMMYFUNCTION("GOOGLETRANSLATE(O1099,""en"",""bn"")"),"কৌশিক আধিকারিক")</f>
        <v>কৌশিক আধিকারিক</v>
      </c>
      <c r="Q1099" s="2" t="s">
        <v>1322</v>
      </c>
      <c r="S1099" s="2" t="s">
        <v>1322</v>
      </c>
      <c r="V1099" s="2" t="s">
        <v>2383</v>
      </c>
      <c r="W1099" s="2">
        <v>2</v>
      </c>
    </row>
    <row r="1100" spans="1:23" ht="15.75" customHeight="1" x14ac:dyDescent="0.35">
      <c r="A1100" s="2" t="s">
        <v>23</v>
      </c>
      <c r="L1100" s="2">
        <v>135</v>
      </c>
      <c r="M1100" s="2" t="s">
        <v>333</v>
      </c>
      <c r="O1100" s="2" t="s">
        <v>2384</v>
      </c>
      <c r="P1100" s="2" t="str">
        <f ca="1">IFERROR(__xludf.DUMMYFUNCTION("GOOGLETRANSLATE(O1100,""en"",""bn"")"),"সুব্রত নস্কর")</f>
        <v>সুব্রত নস্কর</v>
      </c>
      <c r="Q1100" s="2" t="s">
        <v>1109</v>
      </c>
      <c r="S1100" s="2" t="s">
        <v>1109</v>
      </c>
      <c r="V1100" s="2" t="s">
        <v>2385</v>
      </c>
      <c r="W1100" s="2">
        <v>2</v>
      </c>
    </row>
    <row r="1101" spans="1:23" ht="15.75" customHeight="1" x14ac:dyDescent="0.35">
      <c r="A1101" s="2" t="s">
        <v>23</v>
      </c>
      <c r="L1101" s="2">
        <v>152</v>
      </c>
      <c r="M1101" s="2" t="s">
        <v>450</v>
      </c>
      <c r="O1101" s="2" t="s">
        <v>859</v>
      </c>
      <c r="P1101" s="2" t="str">
        <f ca="1">IFERROR(__xludf.DUMMYFUNCTION("GOOGLETRANSLATE(O1101,""en"",""bn"")"),"তপন দাস")</f>
        <v>তপন দাস</v>
      </c>
      <c r="Q1101" s="2" t="s">
        <v>1322</v>
      </c>
      <c r="S1101" s="2" t="s">
        <v>1322</v>
      </c>
      <c r="V1101" s="2" t="s">
        <v>2386</v>
      </c>
      <c r="W1101" s="2">
        <v>2</v>
      </c>
    </row>
    <row r="1102" spans="1:23" ht="15.75" customHeight="1" x14ac:dyDescent="0.35">
      <c r="A1102" s="2" t="s">
        <v>23</v>
      </c>
      <c r="L1102" s="2">
        <v>160</v>
      </c>
      <c r="M1102" s="2" t="s">
        <v>72</v>
      </c>
      <c r="O1102" s="2" t="s">
        <v>925</v>
      </c>
      <c r="P1102" s="2" t="str">
        <f ca="1">IFERROR(__xludf.DUMMYFUNCTION("GOOGLETRANSLATE(O1102,""en"",""bn"")"),"গোপাল ঘোষ")</f>
        <v>গোপাল ঘোষ</v>
      </c>
      <c r="Q1102" s="2" t="s">
        <v>1322</v>
      </c>
      <c r="S1102" s="2" t="s">
        <v>1322</v>
      </c>
      <c r="V1102" s="2" t="s">
        <v>2387</v>
      </c>
      <c r="W1102" s="2">
        <v>2</v>
      </c>
    </row>
    <row r="1103" spans="1:23" ht="15.75" customHeight="1" x14ac:dyDescent="0.35">
      <c r="A1103" s="2" t="s">
        <v>23</v>
      </c>
      <c r="L1103" s="2">
        <v>136</v>
      </c>
      <c r="M1103" s="2" t="s">
        <v>43</v>
      </c>
      <c r="O1103" s="2" t="s">
        <v>2388</v>
      </c>
      <c r="P1103" s="2" t="str">
        <f ca="1">IFERROR(__xludf.DUMMYFUNCTION("GOOGLETRANSLATE(O1103,""en"",""bn"")"),"সঞ্জীব মন্ডল")</f>
        <v>সঞ্জীব মন্ডল</v>
      </c>
      <c r="Q1103" s="2" t="s">
        <v>1109</v>
      </c>
      <c r="S1103" s="2" t="s">
        <v>1109</v>
      </c>
      <c r="V1103" s="2" t="s">
        <v>2389</v>
      </c>
      <c r="W1103" s="2">
        <v>2</v>
      </c>
    </row>
    <row r="1104" spans="1:23" ht="15.75" customHeight="1" x14ac:dyDescent="0.35">
      <c r="A1104" s="2" t="s">
        <v>23</v>
      </c>
      <c r="L1104" s="2">
        <v>188</v>
      </c>
      <c r="M1104" s="2" t="s">
        <v>106</v>
      </c>
      <c r="O1104" s="2" t="s">
        <v>2390</v>
      </c>
      <c r="P1104" s="2" t="str">
        <f ca="1">IFERROR(__xludf.DUMMYFUNCTION("GOOGLETRANSLATE(O1104,""en"",""bn"")"),"অরূপ দাস")</f>
        <v>অরূপ দাস</v>
      </c>
      <c r="Q1104" s="2" t="s">
        <v>1322</v>
      </c>
      <c r="S1104" s="2" t="s">
        <v>1322</v>
      </c>
      <c r="V1104" s="2" t="s">
        <v>2391</v>
      </c>
      <c r="W1104" s="2">
        <v>2</v>
      </c>
    </row>
    <row r="1105" spans="1:23" ht="15.75" customHeight="1" x14ac:dyDescent="0.35">
      <c r="A1105" s="2" t="s">
        <v>23</v>
      </c>
      <c r="L1105" s="2">
        <v>82</v>
      </c>
      <c r="M1105" s="2" t="s">
        <v>375</v>
      </c>
      <c r="O1105" s="2" t="s">
        <v>2392</v>
      </c>
      <c r="P1105" s="2" t="str">
        <f ca="1">IFERROR(__xludf.DUMMYFUNCTION("GOOGLETRANSLATE(O1105,""en"",""bn"")"),"উৎপল ঘোষ")</f>
        <v>উৎপল ঘোষ</v>
      </c>
      <c r="Q1105" s="2" t="s">
        <v>1322</v>
      </c>
      <c r="S1105" s="2" t="s">
        <v>1322</v>
      </c>
      <c r="V1105" s="2" t="s">
        <v>2393</v>
      </c>
      <c r="W1105" s="2">
        <v>2</v>
      </c>
    </row>
    <row r="1106" spans="1:23" ht="15.75" customHeight="1" x14ac:dyDescent="0.35">
      <c r="A1106" s="2" t="s">
        <v>23</v>
      </c>
      <c r="L1106" s="2">
        <v>187</v>
      </c>
      <c r="M1106" s="2" t="s">
        <v>405</v>
      </c>
      <c r="O1106" s="2" t="s">
        <v>2394</v>
      </c>
      <c r="P1106" s="2" t="str">
        <f ca="1">IFERROR(__xludf.DUMMYFUNCTION("GOOGLETRANSLATE(O1106,""en"",""bn"")"),"দিলীপ দাস")</f>
        <v>দিলীপ দাস</v>
      </c>
      <c r="Q1106" s="2" t="s">
        <v>1322</v>
      </c>
      <c r="S1106" s="2" t="s">
        <v>1322</v>
      </c>
      <c r="V1106" s="2" t="s">
        <v>2395</v>
      </c>
      <c r="W1106" s="2">
        <v>2</v>
      </c>
    </row>
    <row r="1107" spans="1:23" ht="15.75" customHeight="1" x14ac:dyDescent="0.35">
      <c r="A1107" s="2" t="s">
        <v>23</v>
      </c>
      <c r="L1107" s="2">
        <v>173</v>
      </c>
      <c r="M1107" s="2" t="s">
        <v>127</v>
      </c>
      <c r="O1107" s="2" t="s">
        <v>2396</v>
      </c>
      <c r="P1107" s="2" t="str">
        <f ca="1">IFERROR(__xludf.DUMMYFUNCTION("GOOGLETRANSLATE(O1107,""en"",""bn"")"),"অমিত চক্রবর্তী")</f>
        <v>অমিত চক্রবর্তী</v>
      </c>
      <c r="Q1107" s="2" t="s">
        <v>1322</v>
      </c>
      <c r="S1107" s="2" t="s">
        <v>1322</v>
      </c>
      <c r="V1107" s="2" t="s">
        <v>2397</v>
      </c>
      <c r="W1107" s="2">
        <v>2</v>
      </c>
    </row>
    <row r="1108" spans="1:23" ht="15.75" customHeight="1" x14ac:dyDescent="0.35">
      <c r="A1108" s="2" t="s">
        <v>23</v>
      </c>
      <c r="L1108" s="2">
        <v>109</v>
      </c>
      <c r="M1108" s="2" t="s">
        <v>336</v>
      </c>
      <c r="O1108" s="2" t="s">
        <v>2398</v>
      </c>
      <c r="P1108" s="2" t="str">
        <f ca="1">IFERROR(__xludf.DUMMYFUNCTION("GOOGLETRANSLATE(O1108,""en"",""bn"")"),"নির্মাল্য সিং")</f>
        <v>নির্মাল্য সিং</v>
      </c>
      <c r="Q1108" s="2" t="s">
        <v>1433</v>
      </c>
      <c r="S1108" s="2" t="s">
        <v>1433</v>
      </c>
      <c r="V1108" s="2" t="s">
        <v>2399</v>
      </c>
      <c r="W1108" s="2">
        <v>2</v>
      </c>
    </row>
    <row r="1109" spans="1:23" ht="15.75" customHeight="1" x14ac:dyDescent="0.35">
      <c r="A1109" s="2" t="s">
        <v>23</v>
      </c>
      <c r="L1109" s="2">
        <v>103</v>
      </c>
      <c r="M1109" s="2" t="s">
        <v>199</v>
      </c>
      <c r="O1109" s="2" t="s">
        <v>2400</v>
      </c>
      <c r="P1109" s="2" t="str">
        <f ca="1">IFERROR(__xludf.DUMMYFUNCTION("GOOGLETRANSLATE(O1109,""en"",""bn"")"),"টুনটুন যাদব")</f>
        <v>টুনটুন যাদব</v>
      </c>
      <c r="Q1109" s="2" t="s">
        <v>1322</v>
      </c>
      <c r="S1109" s="2" t="s">
        <v>1322</v>
      </c>
      <c r="V1109" s="2" t="s">
        <v>2401</v>
      </c>
      <c r="W1109" s="2">
        <v>2</v>
      </c>
    </row>
    <row r="1110" spans="1:23" ht="15.75" customHeight="1" x14ac:dyDescent="0.35">
      <c r="A1110" s="2" t="s">
        <v>23</v>
      </c>
      <c r="L1110" s="2">
        <v>181</v>
      </c>
      <c r="M1110" s="2" t="s">
        <v>193</v>
      </c>
      <c r="O1110" s="2" t="s">
        <v>1636</v>
      </c>
      <c r="P1110" s="2" t="str">
        <f ca="1">IFERROR(__xludf.DUMMYFUNCTION("GOOGLETRANSLATE(O1110,""en"",""bn"")"),"অভিজিৎ হাজরা")</f>
        <v>অভিজিৎ হাজরা</v>
      </c>
      <c r="Q1110" s="2" t="s">
        <v>1322</v>
      </c>
      <c r="S1110" s="2" t="s">
        <v>1322</v>
      </c>
      <c r="V1110" s="2" t="s">
        <v>2402</v>
      </c>
      <c r="W1110" s="2">
        <v>2</v>
      </c>
    </row>
    <row r="1111" spans="1:23" ht="15.75" customHeight="1" x14ac:dyDescent="0.35">
      <c r="A1111" s="2" t="s">
        <v>23</v>
      </c>
      <c r="L1111" s="2">
        <v>142</v>
      </c>
      <c r="M1111" s="2" t="s">
        <v>414</v>
      </c>
      <c r="O1111" s="2" t="s">
        <v>2403</v>
      </c>
      <c r="P1111" s="2" t="str">
        <f ca="1">IFERROR(__xludf.DUMMYFUNCTION("GOOGLETRANSLATE(O1111,""en"",""bn"")"),"উজ্জ্বল রায়")</f>
        <v>উজ্জ্বল রায়</v>
      </c>
      <c r="Q1111" s="2" t="s">
        <v>1322</v>
      </c>
      <c r="S1111" s="2" t="s">
        <v>1322</v>
      </c>
      <c r="V1111" s="2" t="s">
        <v>2404</v>
      </c>
      <c r="W1111" s="2">
        <v>2</v>
      </c>
    </row>
    <row r="1112" spans="1:23" ht="15.75" customHeight="1" x14ac:dyDescent="0.35">
      <c r="A1112" s="2" t="s">
        <v>23</v>
      </c>
      <c r="L1112" s="2">
        <v>141</v>
      </c>
      <c r="M1112" s="2" t="s">
        <v>63</v>
      </c>
      <c r="O1112" s="2" t="s">
        <v>2405</v>
      </c>
      <c r="P1112" s="2" t="str">
        <f ca="1">IFERROR(__xludf.DUMMYFUNCTION("GOOGLETRANSLATE(O1112,""en"",""bn"")"),"সৌমেন্দ্র নাথ সর্দার")</f>
        <v>সৌমেন্দ্র নাথ সর্দার</v>
      </c>
      <c r="Q1112" s="2" t="s">
        <v>1322</v>
      </c>
      <c r="S1112" s="2" t="s">
        <v>1322</v>
      </c>
      <c r="V1112" s="2" t="s">
        <v>2406</v>
      </c>
      <c r="W1112" s="2">
        <v>2</v>
      </c>
    </row>
    <row r="1113" spans="1:23" ht="15.75" customHeight="1" x14ac:dyDescent="0.35">
      <c r="A1113" s="2" t="s">
        <v>23</v>
      </c>
      <c r="L1113" s="2">
        <v>91</v>
      </c>
      <c r="M1113" s="2" t="s">
        <v>211</v>
      </c>
      <c r="O1113" s="2" t="s">
        <v>2407</v>
      </c>
      <c r="P1113" s="2" t="str">
        <f ca="1">IFERROR(__xludf.DUMMYFUNCTION("GOOGLETRANSLATE(O1113,""en"",""bn"")"),"উত্তম কুমার দাস")</f>
        <v>উত্তম কুমার দাস</v>
      </c>
      <c r="Q1113" s="2" t="s">
        <v>1322</v>
      </c>
      <c r="S1113" s="2" t="s">
        <v>1322</v>
      </c>
      <c r="V1113" s="2" t="s">
        <v>2408</v>
      </c>
      <c r="W1113" s="2">
        <v>2</v>
      </c>
    </row>
    <row r="1114" spans="1:23" ht="15.75" customHeight="1" x14ac:dyDescent="0.35">
      <c r="A1114" s="2" t="s">
        <v>23</v>
      </c>
      <c r="L1114" s="2">
        <v>178</v>
      </c>
      <c r="M1114" s="2" t="s">
        <v>226</v>
      </c>
      <c r="O1114" s="2" t="s">
        <v>2409</v>
      </c>
      <c r="P1114" s="2" t="str">
        <f ca="1">IFERROR(__xludf.DUMMYFUNCTION("GOOGLETRANSLATE(O1114,""en"",""bn"")"),"অমল কুমার বর্মণ")</f>
        <v>অমল কুমার বর্মণ</v>
      </c>
      <c r="Q1114" s="2" t="s">
        <v>1322</v>
      </c>
      <c r="S1114" s="2" t="s">
        <v>1322</v>
      </c>
      <c r="V1114" s="2" t="s">
        <v>2410</v>
      </c>
      <c r="W1114" s="2">
        <v>2</v>
      </c>
    </row>
    <row r="1115" spans="1:23" ht="15.75" customHeight="1" x14ac:dyDescent="0.35">
      <c r="A1115" s="2" t="s">
        <v>23</v>
      </c>
      <c r="L1115" s="2">
        <v>143</v>
      </c>
      <c r="M1115" s="2" t="s">
        <v>163</v>
      </c>
      <c r="O1115" s="2" t="s">
        <v>2411</v>
      </c>
      <c r="P1115" s="2" t="str">
        <f ca="1">IFERROR(__xludf.DUMMYFUNCTION("GOOGLETRANSLATE(O1115,""en"",""bn"")"),"দীপক হালদার")</f>
        <v>দীপক হালদার</v>
      </c>
      <c r="Q1115" s="2" t="s">
        <v>1322</v>
      </c>
      <c r="S1115" s="2" t="s">
        <v>1322</v>
      </c>
      <c r="V1115" s="2" t="s">
        <v>2412</v>
      </c>
      <c r="W1115" s="2">
        <v>2</v>
      </c>
    </row>
    <row r="1116" spans="1:23" ht="15.75" customHeight="1" x14ac:dyDescent="0.35">
      <c r="A1116" s="2" t="s">
        <v>23</v>
      </c>
      <c r="L1116" s="2">
        <v>274</v>
      </c>
      <c r="M1116" s="2" t="s">
        <v>366</v>
      </c>
      <c r="O1116" s="2" t="s">
        <v>2413</v>
      </c>
      <c r="P1116" s="2" t="str">
        <f ca="1">IFERROR(__xludf.DUMMYFUNCTION("GOOGLETRANSLATE(O1116,""en"",""bn"")"),"সেনাপতি বাগদি")</f>
        <v>সেনাপতি বাগদি</v>
      </c>
      <c r="Q1116" s="2" t="s">
        <v>1322</v>
      </c>
      <c r="S1116" s="2" t="s">
        <v>1322</v>
      </c>
      <c r="V1116" s="2" t="s">
        <v>2414</v>
      </c>
      <c r="W1116" s="2">
        <v>2</v>
      </c>
    </row>
    <row r="1117" spans="1:23" ht="15.75" customHeight="1" x14ac:dyDescent="0.35">
      <c r="A1117" s="2" t="s">
        <v>23</v>
      </c>
      <c r="L1117" s="2">
        <v>131</v>
      </c>
      <c r="M1117" s="2" t="s">
        <v>130</v>
      </c>
      <c r="O1117" s="2" t="s">
        <v>131</v>
      </c>
      <c r="P1117" s="2" t="str">
        <f ca="1">IFERROR(__xludf.DUMMYFUNCTION("GOOGLETRANSLATE(O1117,""en"",""bn"")"),"দীপঙ্কর জানা")</f>
        <v>দীপঙ্কর জানা</v>
      </c>
      <c r="Q1117" s="2" t="s">
        <v>1322</v>
      </c>
      <c r="S1117" s="2" t="s">
        <v>1322</v>
      </c>
      <c r="V1117" s="2" t="s">
        <v>2415</v>
      </c>
      <c r="W1117" s="2">
        <v>2</v>
      </c>
    </row>
    <row r="1118" spans="1:23" ht="15.75" customHeight="1" x14ac:dyDescent="0.35">
      <c r="A1118" s="2" t="s">
        <v>23</v>
      </c>
      <c r="L1118" s="2">
        <v>160</v>
      </c>
      <c r="M1118" s="2" t="s">
        <v>72</v>
      </c>
      <c r="O1118" s="2" t="s">
        <v>2416</v>
      </c>
      <c r="P1118" s="2" t="str">
        <f ca="1">IFERROR(__xludf.DUMMYFUNCTION("GOOGLETRANSLATE(O1118,""en"",""bn"")"),"পঙ্কজ থাক্কার")</f>
        <v>পঙ্কজ থাক্কার</v>
      </c>
      <c r="Q1118" s="2" t="s">
        <v>1322</v>
      </c>
      <c r="S1118" s="2" t="s">
        <v>1322</v>
      </c>
      <c r="V1118" s="2" t="s">
        <v>2417</v>
      </c>
      <c r="W1118" s="2">
        <v>2</v>
      </c>
    </row>
    <row r="1119" spans="1:23" ht="15.75" customHeight="1" x14ac:dyDescent="0.35">
      <c r="A1119" s="2" t="s">
        <v>23</v>
      </c>
      <c r="L1119" s="2">
        <v>167</v>
      </c>
      <c r="M1119" s="2" t="s">
        <v>109</v>
      </c>
      <c r="O1119" s="2" t="s">
        <v>2418</v>
      </c>
      <c r="P1119" s="2" t="str">
        <f ca="1">IFERROR(__xludf.DUMMYFUNCTION("GOOGLETRANSLATE(O1119,""en"",""bn"")"),"প্রতিমা সাহা")</f>
        <v>প্রতিমা সাহা</v>
      </c>
      <c r="Q1119" s="2" t="s">
        <v>1322</v>
      </c>
      <c r="S1119" s="2" t="s">
        <v>1322</v>
      </c>
      <c r="V1119" s="2" t="s">
        <v>2419</v>
      </c>
      <c r="W1119" s="2">
        <v>2</v>
      </c>
    </row>
    <row r="1120" spans="1:23" ht="15.75" customHeight="1" x14ac:dyDescent="0.35">
      <c r="A1120" s="2" t="s">
        <v>23</v>
      </c>
      <c r="L1120" s="2">
        <v>150</v>
      </c>
      <c r="M1120" s="2" t="s">
        <v>181</v>
      </c>
      <c r="O1120" s="2" t="s">
        <v>2420</v>
      </c>
      <c r="P1120" s="2" t="str">
        <f ca="1">IFERROR(__xludf.DUMMYFUNCTION("GOOGLETRANSLATE(O1120,""en"",""bn"")"),"তনুজিৎ দাস")</f>
        <v>তনুজিৎ দাস</v>
      </c>
      <c r="Q1120" s="2" t="s">
        <v>1322</v>
      </c>
      <c r="S1120" s="2" t="s">
        <v>1322</v>
      </c>
      <c r="V1120" s="2" t="s">
        <v>2421</v>
      </c>
      <c r="W1120" s="2">
        <v>2</v>
      </c>
    </row>
    <row r="1121" spans="1:23" ht="15.75" customHeight="1" x14ac:dyDescent="0.35">
      <c r="A1121" s="2" t="s">
        <v>23</v>
      </c>
      <c r="L1121" s="2">
        <v>119</v>
      </c>
      <c r="M1121" s="2" t="s">
        <v>327</v>
      </c>
      <c r="O1121" s="2" t="s">
        <v>2422</v>
      </c>
      <c r="P1121" s="2" t="str">
        <f ca="1">IFERROR(__xludf.DUMMYFUNCTION("GOOGLETRANSLATE(O1121,""en"",""bn"")"),"অভিক বসু ঠাকুর")</f>
        <v>অভিক বসু ঠাকুর</v>
      </c>
      <c r="Q1121" s="2" t="s">
        <v>1322</v>
      </c>
      <c r="S1121" s="2" t="s">
        <v>1322</v>
      </c>
      <c r="V1121" s="2" t="s">
        <v>2423</v>
      </c>
      <c r="W1121" s="2">
        <v>2</v>
      </c>
    </row>
    <row r="1122" spans="1:23" ht="15.75" customHeight="1" x14ac:dyDescent="0.35">
      <c r="A1122" s="2" t="s">
        <v>23</v>
      </c>
      <c r="L1122" s="2">
        <v>114</v>
      </c>
      <c r="M1122" s="2" t="s">
        <v>303</v>
      </c>
      <c r="O1122" s="2" t="s">
        <v>2424</v>
      </c>
      <c r="P1122" s="2" t="str">
        <f ca="1">IFERROR(__xludf.DUMMYFUNCTION("GOOGLETRANSLATE(O1122,""en"",""bn"")"),"পলাশ সামান্তা")</f>
        <v>পলাশ সামান্তা</v>
      </c>
      <c r="Q1122" s="2" t="s">
        <v>1322</v>
      </c>
      <c r="S1122" s="2" t="s">
        <v>1322</v>
      </c>
      <c r="V1122" s="2" t="s">
        <v>2425</v>
      </c>
      <c r="W1122" s="2">
        <v>2</v>
      </c>
    </row>
    <row r="1123" spans="1:23" ht="15.75" customHeight="1" x14ac:dyDescent="0.35">
      <c r="A1123" s="2" t="s">
        <v>23</v>
      </c>
      <c r="L1123" s="2">
        <v>133</v>
      </c>
      <c r="M1123" s="2" t="s">
        <v>384</v>
      </c>
      <c r="O1123" s="2" t="s">
        <v>2426</v>
      </c>
      <c r="P1123" s="2" t="str">
        <f ca="1">IFERROR(__xludf.DUMMYFUNCTION("GOOGLETRANSLATE(O1123,""en"",""bn"")"),"বার্নালি মন্ডল")</f>
        <v>বার্নালি মন্ডল</v>
      </c>
      <c r="Q1123" s="2" t="s">
        <v>1322</v>
      </c>
      <c r="S1123" s="2" t="s">
        <v>1322</v>
      </c>
      <c r="V1123" s="2" t="s">
        <v>2427</v>
      </c>
      <c r="W1123" s="2">
        <v>2</v>
      </c>
    </row>
    <row r="1124" spans="1:23" ht="15.75" customHeight="1" x14ac:dyDescent="0.35">
      <c r="A1124" s="2" t="s">
        <v>23</v>
      </c>
      <c r="L1124" s="2">
        <v>140</v>
      </c>
      <c r="M1124" s="2" t="s">
        <v>429</v>
      </c>
      <c r="O1124" s="2" t="s">
        <v>2428</v>
      </c>
      <c r="P1124" s="2" t="str">
        <f ca="1">IFERROR(__xludf.DUMMYFUNCTION("GOOGLETRANSLATE(O1124,""en"",""bn"")"),"তিলক মন্ডল")</f>
        <v>তিলক মন্ডল</v>
      </c>
      <c r="Q1124" s="2" t="s">
        <v>1322</v>
      </c>
      <c r="S1124" s="2" t="s">
        <v>1322</v>
      </c>
      <c r="V1124" s="2" t="s">
        <v>2429</v>
      </c>
      <c r="W1124" s="2">
        <v>2</v>
      </c>
    </row>
    <row r="1125" spans="1:23" ht="15.75" customHeight="1" x14ac:dyDescent="0.35">
      <c r="A1125" s="2" t="s">
        <v>23</v>
      </c>
      <c r="L1125" s="2">
        <v>110</v>
      </c>
      <c r="M1125" s="2" t="s">
        <v>259</v>
      </c>
      <c r="O1125" s="2" t="s">
        <v>2430</v>
      </c>
      <c r="P1125" s="2" t="str">
        <f ca="1">IFERROR(__xludf.DUMMYFUNCTION("GOOGLETRANSLATE(O1125,""en"",""bn"")"),"প্রতাপ বৈদ্য")</f>
        <v>প্রতাপ বৈদ্য</v>
      </c>
      <c r="Q1125" s="2" t="s">
        <v>1322</v>
      </c>
      <c r="S1125" s="2" t="s">
        <v>1322</v>
      </c>
      <c r="V1125" s="2" t="s">
        <v>2431</v>
      </c>
      <c r="W1125" s="2">
        <v>2</v>
      </c>
    </row>
    <row r="1126" spans="1:23" ht="15.75" customHeight="1" x14ac:dyDescent="0.35">
      <c r="A1126" s="2" t="s">
        <v>23</v>
      </c>
      <c r="L1126" s="2">
        <v>174</v>
      </c>
      <c r="M1126" s="2" t="s">
        <v>256</v>
      </c>
      <c r="O1126" s="2" t="s">
        <v>2432</v>
      </c>
      <c r="P1126" s="2" t="str">
        <f ca="1">IFERROR(__xludf.DUMMYFUNCTION("GOOGLETRANSLATE(O1126,""en"",""bn"")"),"রেখা মন্ডল")</f>
        <v>রেখা মন্ডল</v>
      </c>
      <c r="Q1126" s="2" t="s">
        <v>1322</v>
      </c>
      <c r="S1126" s="2" t="s">
        <v>1322</v>
      </c>
      <c r="V1126" s="2" t="s">
        <v>2433</v>
      </c>
      <c r="W1126" s="2">
        <v>2</v>
      </c>
    </row>
    <row r="1127" spans="1:23" ht="15.75" customHeight="1" x14ac:dyDescent="0.35">
      <c r="A1127" s="2" t="s">
        <v>23</v>
      </c>
      <c r="L1127" s="2">
        <v>113</v>
      </c>
      <c r="M1127" s="2" t="s">
        <v>399</v>
      </c>
      <c r="O1127" s="2" t="s">
        <v>2434</v>
      </c>
      <c r="P1127" s="2" t="str">
        <f ca="1">IFERROR(__xludf.DUMMYFUNCTION("GOOGLETRANSLATE(O1127,""en"",""bn"")"),"সজল কুমার ঘোষ")</f>
        <v>সজল কুমার ঘোষ</v>
      </c>
      <c r="Q1127" s="2" t="s">
        <v>1322</v>
      </c>
      <c r="S1127" s="2" t="s">
        <v>1322</v>
      </c>
      <c r="V1127" s="2" t="s">
        <v>2435</v>
      </c>
      <c r="W1127" s="2">
        <v>2</v>
      </c>
    </row>
    <row r="1128" spans="1:23" ht="15.75" customHeight="1" x14ac:dyDescent="0.35">
      <c r="A1128" s="2" t="s">
        <v>23</v>
      </c>
      <c r="L1128" s="2">
        <v>260</v>
      </c>
      <c r="M1128" s="2" t="s">
        <v>292</v>
      </c>
      <c r="O1128" s="2" t="s">
        <v>2436</v>
      </c>
      <c r="P1128" s="2" t="str">
        <f ca="1">IFERROR(__xludf.DUMMYFUNCTION("GOOGLETRANSLATE(O1128,""en"",""bn"")"),"শান্তনু দত্ত")</f>
        <v>শান্তনু দত্ত</v>
      </c>
      <c r="Q1128" s="2" t="s">
        <v>1322</v>
      </c>
      <c r="S1128" s="2" t="s">
        <v>1322</v>
      </c>
      <c r="V1128" s="2" t="s">
        <v>2437</v>
      </c>
      <c r="W1128" s="2">
        <v>2</v>
      </c>
    </row>
    <row r="1129" spans="1:23" ht="15.75" customHeight="1" x14ac:dyDescent="0.35">
      <c r="A1129" s="2" t="s">
        <v>23</v>
      </c>
      <c r="L1129" s="2">
        <v>108</v>
      </c>
      <c r="M1129" s="2" t="s">
        <v>441</v>
      </c>
      <c r="O1129" s="2" t="s">
        <v>2438</v>
      </c>
      <c r="P1129" s="2" t="str">
        <f ca="1">IFERROR(__xludf.DUMMYFUNCTION("GOOGLETRANSLATE(O1129,""en"",""bn"")"),"সরোজ শর্মা")</f>
        <v>সরোজ শর্মা</v>
      </c>
      <c r="Q1129" s="2" t="s">
        <v>1322</v>
      </c>
      <c r="S1129" s="2" t="s">
        <v>1322</v>
      </c>
      <c r="V1129" s="2" t="s">
        <v>2439</v>
      </c>
      <c r="W1129" s="2">
        <v>2</v>
      </c>
    </row>
    <row r="1130" spans="1:23" ht="15.75" customHeight="1" x14ac:dyDescent="0.35">
      <c r="A1130" s="2" t="s">
        <v>23</v>
      </c>
      <c r="L1130" s="2">
        <v>179</v>
      </c>
      <c r="M1130" s="2" t="s">
        <v>435</v>
      </c>
      <c r="O1130" s="2" t="s">
        <v>2440</v>
      </c>
      <c r="P1130" s="2" t="str">
        <f ca="1">IFERROR(__xludf.DUMMYFUNCTION("GOOGLETRANSLATE(O1130,""en"",""bn"")"),"প্রণব সামন্ত")</f>
        <v>প্রণব সামন্ত</v>
      </c>
      <c r="Q1130" s="2" t="s">
        <v>1322</v>
      </c>
      <c r="S1130" s="2" t="s">
        <v>1322</v>
      </c>
      <c r="V1130" s="2" t="s">
        <v>2441</v>
      </c>
      <c r="W1130" s="2">
        <v>2</v>
      </c>
    </row>
    <row r="1131" spans="1:23" ht="15.75" customHeight="1" x14ac:dyDescent="0.35">
      <c r="A1131" s="2" t="s">
        <v>23</v>
      </c>
      <c r="L1131" s="2">
        <v>91</v>
      </c>
      <c r="M1131" s="2" t="s">
        <v>211</v>
      </c>
      <c r="O1131" s="2" t="s">
        <v>2442</v>
      </c>
      <c r="P1131" s="2" t="str">
        <f ca="1">IFERROR(__xludf.DUMMYFUNCTION("GOOGLETRANSLATE(O1131,""en"",""bn"")"),"শর্মা বাপ্পা")</f>
        <v>শর্মা বাপ্পা</v>
      </c>
      <c r="Q1131" s="2" t="s">
        <v>1322</v>
      </c>
      <c r="S1131" s="2" t="s">
        <v>1322</v>
      </c>
      <c r="V1131" s="2" t="s">
        <v>2443</v>
      </c>
      <c r="W1131" s="2">
        <v>2</v>
      </c>
    </row>
    <row r="1132" spans="1:23" ht="15.75" customHeight="1" x14ac:dyDescent="0.35">
      <c r="A1132" s="2" t="s">
        <v>23</v>
      </c>
      <c r="L1132" s="2">
        <v>159</v>
      </c>
      <c r="M1132" s="2" t="s">
        <v>157</v>
      </c>
      <c r="O1132" s="2" t="s">
        <v>532</v>
      </c>
      <c r="P1132" s="2" t="str">
        <f ca="1">IFERROR(__xludf.DUMMYFUNCTION("GOOGLETRANSLATE(O1132,""en"",""bn"")"),"নারায়ণ দাস")</f>
        <v>নারায়ণ দাস</v>
      </c>
      <c r="Q1132" s="2" t="s">
        <v>1322</v>
      </c>
      <c r="S1132" s="2" t="s">
        <v>1322</v>
      </c>
      <c r="V1132" s="2" t="s">
        <v>2444</v>
      </c>
      <c r="W1132" s="2">
        <v>2</v>
      </c>
    </row>
    <row r="1133" spans="1:23" ht="15.75" customHeight="1" x14ac:dyDescent="0.35">
      <c r="A1133" s="2" t="s">
        <v>23</v>
      </c>
      <c r="L1133" s="2">
        <v>78</v>
      </c>
      <c r="M1133" s="2" t="s">
        <v>47</v>
      </c>
      <c r="O1133" s="2" t="s">
        <v>2445</v>
      </c>
      <c r="P1133" s="2" t="str">
        <f ca="1">IFERROR(__xludf.DUMMYFUNCTION("GOOGLETRANSLATE(O1133,""en"",""bn"")"),"যুধিষ্ঠির সরকার")</f>
        <v>যুধিষ্ঠির সরকার</v>
      </c>
      <c r="Q1133" s="2" t="s">
        <v>1322</v>
      </c>
      <c r="S1133" s="2" t="s">
        <v>1322</v>
      </c>
      <c r="V1133" s="2" t="s">
        <v>2446</v>
      </c>
      <c r="W1133" s="2">
        <v>2</v>
      </c>
    </row>
    <row r="1134" spans="1:23" ht="15.75" customHeight="1" x14ac:dyDescent="0.35">
      <c r="A1134" s="2" t="s">
        <v>23</v>
      </c>
      <c r="L1134" s="2">
        <v>116</v>
      </c>
      <c r="M1134" s="2" t="s">
        <v>39</v>
      </c>
      <c r="O1134" s="2" t="s">
        <v>2447</v>
      </c>
      <c r="P1134" s="2" t="str">
        <f ca="1">IFERROR(__xludf.DUMMYFUNCTION("GOOGLETRANSLATE(O1134,""en"",""bn"")"),"সুজিত পাল")</f>
        <v>সুজিত পাল</v>
      </c>
      <c r="Q1134" s="2" t="s">
        <v>1322</v>
      </c>
      <c r="S1134" s="2" t="s">
        <v>1322</v>
      </c>
      <c r="V1134" s="2" t="s">
        <v>2448</v>
      </c>
      <c r="W1134" s="2">
        <v>2</v>
      </c>
    </row>
    <row r="1135" spans="1:23" ht="15.75" customHeight="1" x14ac:dyDescent="0.35">
      <c r="A1135" s="2" t="s">
        <v>23</v>
      </c>
      <c r="L1135" s="2">
        <v>148</v>
      </c>
      <c r="M1135" s="2" t="s">
        <v>408</v>
      </c>
      <c r="O1135" s="2" t="s">
        <v>2449</v>
      </c>
      <c r="P1135" s="2" t="str">
        <f ca="1">IFERROR(__xludf.DUMMYFUNCTION("GOOGLETRANSLATE(O1135,""en"",""bn"")"),"ইকবাল মোল্লা")</f>
        <v>ইকবাল মোল্লা</v>
      </c>
      <c r="Q1135" s="2" t="s">
        <v>1322</v>
      </c>
      <c r="S1135" s="2" t="s">
        <v>1322</v>
      </c>
      <c r="V1135" s="2" t="s">
        <v>2450</v>
      </c>
      <c r="W1135" s="2">
        <v>2</v>
      </c>
    </row>
    <row r="1136" spans="1:23" ht="15.75" customHeight="1" x14ac:dyDescent="0.35">
      <c r="A1136" s="2" t="s">
        <v>23</v>
      </c>
      <c r="L1136" s="2">
        <v>182</v>
      </c>
      <c r="M1136" s="2" t="s">
        <v>97</v>
      </c>
      <c r="O1136" s="2" t="s">
        <v>2451</v>
      </c>
      <c r="P1136" s="2" t="str">
        <f ca="1">IFERROR(__xludf.DUMMYFUNCTION("GOOGLETRANSLATE(O1136,""en"",""bn"")"),"শ্যাম বার")</f>
        <v>শ্যাম বার</v>
      </c>
      <c r="Q1136" s="2" t="s">
        <v>1322</v>
      </c>
      <c r="S1136" s="2" t="s">
        <v>1322</v>
      </c>
      <c r="V1136" s="2" t="s">
        <v>2452</v>
      </c>
      <c r="W1136" s="2">
        <v>2</v>
      </c>
    </row>
    <row r="1137" spans="1:23" ht="15.75" customHeight="1" x14ac:dyDescent="0.35">
      <c r="A1137" s="2" t="s">
        <v>23</v>
      </c>
      <c r="L1137" s="2">
        <v>164</v>
      </c>
      <c r="M1137" s="2" t="s">
        <v>402</v>
      </c>
      <c r="O1137" s="2" t="s">
        <v>2453</v>
      </c>
      <c r="P1137" s="2" t="str">
        <f ca="1">IFERROR(__xludf.DUMMYFUNCTION("GOOGLETRANSLATE(O1137,""en"",""bn"")"),"প্রীতম্বর দাস")</f>
        <v>প্রীতম্বর দাস</v>
      </c>
      <c r="Q1137" s="2" t="s">
        <v>1322</v>
      </c>
      <c r="S1137" s="2" t="s">
        <v>1322</v>
      </c>
      <c r="V1137" s="2" t="s">
        <v>2454</v>
      </c>
      <c r="W1137" s="2">
        <v>2</v>
      </c>
    </row>
    <row r="1138" spans="1:23" ht="15.75" customHeight="1" x14ac:dyDescent="0.35">
      <c r="A1138" s="2" t="s">
        <v>23</v>
      </c>
      <c r="L1138" s="2">
        <v>136</v>
      </c>
      <c r="M1138" s="2" t="s">
        <v>43</v>
      </c>
      <c r="O1138" s="2" t="s">
        <v>2455</v>
      </c>
      <c r="P1138" s="2" t="str">
        <f ca="1">IFERROR(__xludf.DUMMYFUNCTION("GOOGLETRANSLATE(O1138,""en"",""bn"")"),"দিনেশ দাস")</f>
        <v>দিনেশ দাস</v>
      </c>
      <c r="Q1138" s="2" t="s">
        <v>1322</v>
      </c>
      <c r="S1138" s="2" t="s">
        <v>1322</v>
      </c>
      <c r="V1138" s="2" t="s">
        <v>2456</v>
      </c>
      <c r="W1138" s="2">
        <v>2</v>
      </c>
    </row>
    <row r="1139" spans="1:23" ht="15.75" customHeight="1" x14ac:dyDescent="0.35">
      <c r="A1139" s="2" t="s">
        <v>23</v>
      </c>
      <c r="L1139" s="2">
        <v>87</v>
      </c>
      <c r="M1139" s="2" t="s">
        <v>351</v>
      </c>
      <c r="O1139" s="2" t="s">
        <v>2457</v>
      </c>
      <c r="P1139" s="2" t="str">
        <f ca="1">IFERROR(__xludf.DUMMYFUNCTION("GOOGLETRANSLATE(O1139,""en"",""bn"")"),"ভবদেব বিশ্বাস")</f>
        <v>ভবদেব বিশ্বাস</v>
      </c>
      <c r="Q1139" s="2" t="s">
        <v>1322</v>
      </c>
      <c r="S1139" s="2" t="s">
        <v>1322</v>
      </c>
      <c r="V1139" s="2" t="s">
        <v>2458</v>
      </c>
      <c r="W1139" s="2">
        <v>2</v>
      </c>
    </row>
    <row r="1140" spans="1:23" ht="15.75" customHeight="1" x14ac:dyDescent="0.35">
      <c r="A1140" s="2" t="s">
        <v>23</v>
      </c>
      <c r="L1140" s="2">
        <v>77</v>
      </c>
      <c r="M1140" s="2" t="s">
        <v>202</v>
      </c>
      <c r="O1140" s="2" t="s">
        <v>2459</v>
      </c>
      <c r="P1140" s="2" t="str">
        <f ca="1">IFERROR(__xludf.DUMMYFUNCTION("GOOGLETRANSLATE(O1140,""en"",""bn"")"),"সুব্রত দাস")</f>
        <v>সুব্রত দাস</v>
      </c>
      <c r="Q1140" s="2" t="s">
        <v>1322</v>
      </c>
      <c r="S1140" s="2" t="s">
        <v>1322</v>
      </c>
      <c r="V1140" s="2" t="s">
        <v>2460</v>
      </c>
      <c r="W1140" s="2">
        <v>2</v>
      </c>
    </row>
    <row r="1141" spans="1:23" ht="15.75" customHeight="1" x14ac:dyDescent="0.35">
      <c r="A1141" s="2" t="s">
        <v>23</v>
      </c>
      <c r="L1141" s="2">
        <v>184</v>
      </c>
      <c r="M1141" s="2" t="s">
        <v>60</v>
      </c>
      <c r="O1141" s="2" t="s">
        <v>2461</v>
      </c>
      <c r="P1141" s="2" t="str">
        <f ca="1">IFERROR(__xludf.DUMMYFUNCTION("GOOGLETRANSLATE(O1141,""en"",""bn"")"),"টিঙ্কু কায়াল")</f>
        <v>টিঙ্কু কায়াল</v>
      </c>
      <c r="Q1141" s="2" t="s">
        <v>1322</v>
      </c>
      <c r="S1141" s="2" t="s">
        <v>1322</v>
      </c>
      <c r="V1141" s="2" t="s">
        <v>2462</v>
      </c>
      <c r="W1141" s="2">
        <v>2</v>
      </c>
    </row>
    <row r="1142" spans="1:23" ht="15.75" customHeight="1" x14ac:dyDescent="0.35">
      <c r="A1142" s="2" t="s">
        <v>23</v>
      </c>
      <c r="L1142" s="2">
        <v>196</v>
      </c>
      <c r="M1142" s="2" t="s">
        <v>148</v>
      </c>
      <c r="O1142" s="2" t="s">
        <v>2463</v>
      </c>
      <c r="P1142" s="2" t="str">
        <f ca="1">IFERROR(__xludf.DUMMYFUNCTION("GOOGLETRANSLATE(O1142,""en"",""bn"")"),"সুরজ পুষ্টি")</f>
        <v>সুরজ পুষ্টি</v>
      </c>
      <c r="Q1142" s="2" t="s">
        <v>1322</v>
      </c>
      <c r="S1142" s="2" t="s">
        <v>1322</v>
      </c>
      <c r="V1142" s="2" t="s">
        <v>2464</v>
      </c>
      <c r="W1142" s="2">
        <v>2</v>
      </c>
    </row>
    <row r="1143" spans="1:23" ht="15.75" customHeight="1" x14ac:dyDescent="0.35">
      <c r="A1143" s="2" t="s">
        <v>23</v>
      </c>
      <c r="L1143" s="2">
        <v>107</v>
      </c>
      <c r="M1143" s="2" t="s">
        <v>32</v>
      </c>
      <c r="O1143" s="2" t="s">
        <v>2465</v>
      </c>
      <c r="P1143" s="2" t="str">
        <f ca="1">IFERROR(__xludf.DUMMYFUNCTION("GOOGLETRANSLATE(O1143,""en"",""bn"")"),"জয়ন্ত কুমার ব্যানার্জী")</f>
        <v>জয়ন্ত কুমার ব্যানার্জী</v>
      </c>
      <c r="Q1143" s="2" t="s">
        <v>1322</v>
      </c>
      <c r="S1143" s="2" t="s">
        <v>1322</v>
      </c>
      <c r="V1143" s="2" t="s">
        <v>2466</v>
      </c>
      <c r="W1143" s="2">
        <v>2</v>
      </c>
    </row>
    <row r="1144" spans="1:23" ht="15.75" customHeight="1" x14ac:dyDescent="0.35">
      <c r="A1144" s="2" t="s">
        <v>23</v>
      </c>
      <c r="L1144" s="2">
        <v>115</v>
      </c>
      <c r="M1144" s="2" t="s">
        <v>84</v>
      </c>
      <c r="O1144" s="2" t="s">
        <v>2467</v>
      </c>
      <c r="P1144" s="2" t="str">
        <f ca="1">IFERROR(__xludf.DUMMYFUNCTION("GOOGLETRANSLATE(O1144,""en"",""bn"")"),"অভিমন্যু শান্ডিল্য")</f>
        <v>অভিমন্যু শান্ডিল্য</v>
      </c>
      <c r="Q1144" s="2" t="s">
        <v>1322</v>
      </c>
      <c r="S1144" s="2" t="s">
        <v>1322</v>
      </c>
      <c r="V1144" s="2" t="s">
        <v>2468</v>
      </c>
      <c r="W1144" s="2">
        <v>2</v>
      </c>
    </row>
    <row r="1145" spans="1:23" ht="15.75" customHeight="1" x14ac:dyDescent="0.35">
      <c r="A1145" s="2" t="s">
        <v>23</v>
      </c>
      <c r="L1145" s="2">
        <v>198</v>
      </c>
      <c r="M1145" s="2" t="s">
        <v>381</v>
      </c>
      <c r="O1145" s="2" t="s">
        <v>2469</v>
      </c>
      <c r="P1145" s="2" t="str">
        <f ca="1">IFERROR(__xludf.DUMMYFUNCTION("GOOGLETRANSLATE(O1145,""en"",""bn"")"),"জয়দেব সান্ত্রা")</f>
        <v>জয়দেব সান্ত্রা</v>
      </c>
      <c r="Q1145" s="2" t="s">
        <v>1322</v>
      </c>
      <c r="S1145" s="2" t="s">
        <v>1322</v>
      </c>
      <c r="V1145" s="2" t="s">
        <v>2470</v>
      </c>
      <c r="W1145" s="2">
        <v>2</v>
      </c>
    </row>
    <row r="1146" spans="1:23" ht="15.75" customHeight="1" x14ac:dyDescent="0.35">
      <c r="A1146" s="2" t="s">
        <v>23</v>
      </c>
      <c r="L1146" s="2">
        <v>180</v>
      </c>
      <c r="M1146" s="2" t="s">
        <v>324</v>
      </c>
      <c r="O1146" s="2" t="s">
        <v>2471</v>
      </c>
      <c r="P1146" s="2" t="str">
        <f ca="1">IFERROR(__xludf.DUMMYFUNCTION("GOOGLETRANSLATE(O1146,""en"",""bn"")"),"সঞ্জিত পাত্র")</f>
        <v>সঞ্জিত পাত্র</v>
      </c>
      <c r="Q1146" s="2" t="s">
        <v>1322</v>
      </c>
      <c r="S1146" s="2" t="s">
        <v>1322</v>
      </c>
      <c r="V1146" s="2" t="s">
        <v>2472</v>
      </c>
      <c r="W1146" s="2">
        <v>2</v>
      </c>
    </row>
    <row r="1147" spans="1:23" ht="15.75" customHeight="1" x14ac:dyDescent="0.35">
      <c r="A1147" s="2" t="s">
        <v>23</v>
      </c>
      <c r="L1147" s="2">
        <v>125</v>
      </c>
      <c r="M1147" s="2" t="s">
        <v>160</v>
      </c>
      <c r="O1147" s="2" t="s">
        <v>1021</v>
      </c>
      <c r="P1147" s="2" t="str">
        <f ca="1">IFERROR(__xludf.DUMMYFUNCTION("GOOGLETRANSLATE(O1147,""en"",""bn"")"),"সুভাসিস দাস")</f>
        <v>সুভাসিস দাস</v>
      </c>
      <c r="Q1147" s="2" t="s">
        <v>1322</v>
      </c>
      <c r="S1147" s="2" t="s">
        <v>1322</v>
      </c>
      <c r="V1147" s="2" t="s">
        <v>2473</v>
      </c>
      <c r="W1147" s="2">
        <v>2</v>
      </c>
    </row>
    <row r="1148" spans="1:23" ht="15.75" customHeight="1" x14ac:dyDescent="0.35">
      <c r="A1148" s="2" t="s">
        <v>23</v>
      </c>
      <c r="L1148" s="2">
        <v>152</v>
      </c>
      <c r="M1148" s="2" t="s">
        <v>450</v>
      </c>
      <c r="O1148" s="2" t="s">
        <v>2474</v>
      </c>
      <c r="P1148" s="2" t="str">
        <f ca="1">IFERROR(__xludf.DUMMYFUNCTION("GOOGLETRANSLATE(O1148,""en"",""bn"")"),"দেবাশিস দাস")</f>
        <v>দেবাশিস দাস</v>
      </c>
      <c r="Q1148" s="2" t="s">
        <v>1322</v>
      </c>
      <c r="S1148" s="2" t="s">
        <v>1322</v>
      </c>
      <c r="V1148" s="2" t="s">
        <v>2475</v>
      </c>
      <c r="W1148" s="2">
        <v>2</v>
      </c>
    </row>
    <row r="1149" spans="1:23" ht="15.75" customHeight="1" x14ac:dyDescent="0.35">
      <c r="A1149" s="2" t="s">
        <v>23</v>
      </c>
      <c r="L1149" s="2">
        <v>151</v>
      </c>
      <c r="M1149" s="2" t="s">
        <v>81</v>
      </c>
      <c r="O1149" s="2" t="s">
        <v>2476</v>
      </c>
      <c r="P1149" s="2" t="str">
        <f ca="1">IFERROR(__xludf.DUMMYFUNCTION("GOOGLETRANSLATE(O1149,""en"",""bn"")"),"দীপেন্দু ইসার")</f>
        <v>দীপেন্দু ইসার</v>
      </c>
      <c r="Q1149" s="2" t="s">
        <v>1322</v>
      </c>
      <c r="S1149" s="2" t="s">
        <v>1322</v>
      </c>
      <c r="V1149" s="2" t="s">
        <v>2477</v>
      </c>
      <c r="W1149" s="2">
        <v>2</v>
      </c>
    </row>
    <row r="1150" spans="1:23" ht="15.75" customHeight="1" x14ac:dyDescent="0.35">
      <c r="A1150" s="2" t="s">
        <v>23</v>
      </c>
      <c r="L1150" s="2">
        <v>158</v>
      </c>
      <c r="M1150" s="2" t="s">
        <v>57</v>
      </c>
      <c r="O1150" s="2" t="s">
        <v>2478</v>
      </c>
      <c r="P1150" s="2" t="str">
        <f ca="1">IFERROR(__xludf.DUMMYFUNCTION("GOOGLETRANSLATE(O1150,""en"",""bn"")"),"দিনেশ শ")</f>
        <v>দিনেশ শ</v>
      </c>
      <c r="Q1150" s="2" t="s">
        <v>1322</v>
      </c>
      <c r="S1150" s="2" t="s">
        <v>1322</v>
      </c>
      <c r="V1150" s="2" t="s">
        <v>2479</v>
      </c>
      <c r="W1150" s="2">
        <v>2</v>
      </c>
    </row>
    <row r="1151" spans="1:23" ht="15.75" customHeight="1" x14ac:dyDescent="0.35">
      <c r="A1151" s="2" t="s">
        <v>23</v>
      </c>
      <c r="L1151" s="2">
        <v>97</v>
      </c>
      <c r="M1151" s="2" t="s">
        <v>423</v>
      </c>
      <c r="O1151" s="2" t="s">
        <v>2480</v>
      </c>
      <c r="P1151" s="2" t="str">
        <f ca="1">IFERROR(__xludf.DUMMYFUNCTION("GOOGLETRANSLATE(O1151,""en"",""bn"")"),"সিদ্ধার্থ সমাদর")</f>
        <v>সিদ্ধার্থ সমাদর</v>
      </c>
      <c r="Q1151" s="2" t="s">
        <v>1322</v>
      </c>
      <c r="S1151" s="2" t="s">
        <v>1322</v>
      </c>
      <c r="V1151" s="2" t="s">
        <v>2481</v>
      </c>
      <c r="W1151" s="2">
        <v>2</v>
      </c>
    </row>
    <row r="1152" spans="1:23" ht="15.75" customHeight="1" x14ac:dyDescent="0.35">
      <c r="A1152" s="2" t="s">
        <v>23</v>
      </c>
      <c r="L1152" s="2">
        <v>149</v>
      </c>
      <c r="M1152" s="2" t="s">
        <v>51</v>
      </c>
      <c r="O1152" s="2" t="s">
        <v>2482</v>
      </c>
      <c r="P1152" s="2" t="str">
        <f ca="1">IFERROR(__xludf.DUMMYFUNCTION("GOOGLETRANSLATE(O1152,""en"",""bn"")"),"ইকবাল হোসেন")</f>
        <v>ইকবাল হোসেন</v>
      </c>
      <c r="Q1152" s="2" t="s">
        <v>1322</v>
      </c>
      <c r="S1152" s="2" t="s">
        <v>1322</v>
      </c>
      <c r="V1152" s="2" t="s">
        <v>2483</v>
      </c>
      <c r="W1152" s="2">
        <v>2</v>
      </c>
    </row>
    <row r="1153" spans="1:23" ht="15.75" customHeight="1" x14ac:dyDescent="0.35">
      <c r="A1153" s="2" t="s">
        <v>23</v>
      </c>
      <c r="L1153" s="2">
        <v>171</v>
      </c>
      <c r="M1153" s="2" t="s">
        <v>87</v>
      </c>
      <c r="O1153" s="2" t="s">
        <v>2484</v>
      </c>
      <c r="P1153" s="2" t="str">
        <f ca="1">IFERROR(__xludf.DUMMYFUNCTION("GOOGLETRANSLATE(O1153,""en"",""bn"")"),"আমাজিত বসু")</f>
        <v>আমাজিত বসু</v>
      </c>
      <c r="Q1153" s="2" t="s">
        <v>1322</v>
      </c>
      <c r="S1153" s="2" t="s">
        <v>1322</v>
      </c>
      <c r="V1153" s="2" t="s">
        <v>2485</v>
      </c>
      <c r="W1153" s="2">
        <v>2</v>
      </c>
    </row>
    <row r="1154" spans="1:23" ht="15.75" customHeight="1" x14ac:dyDescent="0.35">
      <c r="A1154" s="2" t="s">
        <v>23</v>
      </c>
      <c r="L1154" s="2">
        <v>181</v>
      </c>
      <c r="M1154" s="2" t="s">
        <v>193</v>
      </c>
      <c r="O1154" s="2" t="s">
        <v>2486</v>
      </c>
      <c r="P1154" s="2" t="str">
        <f ca="1">IFERROR(__xludf.DUMMYFUNCTION("GOOGLETRANSLATE(O1154,""en"",""bn"")"),"আশিস দোলুই")</f>
        <v>আশিস দোলুই</v>
      </c>
      <c r="Q1154" s="2" t="s">
        <v>1322</v>
      </c>
      <c r="S1154" s="2" t="s">
        <v>1322</v>
      </c>
      <c r="V1154" s="2" t="s">
        <v>2487</v>
      </c>
      <c r="W1154" s="2">
        <v>2</v>
      </c>
    </row>
    <row r="1155" spans="1:23" ht="15.75" customHeight="1" x14ac:dyDescent="0.35">
      <c r="A1155" s="2" t="s">
        <v>23</v>
      </c>
      <c r="L1155" s="2">
        <v>93</v>
      </c>
      <c r="M1155" s="2" t="s">
        <v>187</v>
      </c>
      <c r="O1155" s="2" t="s">
        <v>2488</v>
      </c>
      <c r="P1155" s="2" t="str">
        <f ca="1">IFERROR(__xludf.DUMMYFUNCTION("GOOGLETRANSLATE(O1155,""en"",""bn"")"),"অমল সরকার")</f>
        <v>অমল সরকার</v>
      </c>
      <c r="Q1155" s="2" t="s">
        <v>1322</v>
      </c>
      <c r="S1155" s="2" t="s">
        <v>1322</v>
      </c>
      <c r="V1155" s="2" t="s">
        <v>2489</v>
      </c>
      <c r="W1155" s="2">
        <v>2</v>
      </c>
    </row>
    <row r="1156" spans="1:23" ht="15.75" customHeight="1" x14ac:dyDescent="0.35">
      <c r="A1156" s="2" t="s">
        <v>23</v>
      </c>
      <c r="L1156" s="2">
        <v>147</v>
      </c>
      <c r="M1156" s="2" t="s">
        <v>265</v>
      </c>
      <c r="O1156" s="2" t="s">
        <v>2490</v>
      </c>
      <c r="P1156" s="2" t="str">
        <f ca="1">IFERROR(__xludf.DUMMYFUNCTION("GOOGLETRANSLATE(O1156,""en"",""bn"")"),"প্রোহাল্লাদ নাসকার")</f>
        <v>প্রোহাল্লাদ নাসকার</v>
      </c>
      <c r="Q1156" s="2" t="s">
        <v>1322</v>
      </c>
      <c r="S1156" s="2" t="s">
        <v>1322</v>
      </c>
      <c r="V1156" s="2" t="s">
        <v>2491</v>
      </c>
      <c r="W1156" s="2">
        <v>2</v>
      </c>
    </row>
    <row r="1157" spans="1:23" ht="15.75" customHeight="1" x14ac:dyDescent="0.35">
      <c r="A1157" s="2" t="s">
        <v>23</v>
      </c>
      <c r="L1157" s="2">
        <v>168</v>
      </c>
      <c r="M1157" s="2" t="s">
        <v>100</v>
      </c>
      <c r="O1157" s="2" t="s">
        <v>2492</v>
      </c>
      <c r="P1157" s="2" t="str">
        <f ca="1">IFERROR(__xludf.DUMMYFUNCTION("GOOGLETRANSLATE(O1157,""en"",""bn"")"),"আরাফাত শেখ")</f>
        <v>আরাফাত শেখ</v>
      </c>
      <c r="Q1157" s="2" t="s">
        <v>1322</v>
      </c>
      <c r="S1157" s="2" t="s">
        <v>1322</v>
      </c>
      <c r="V1157" s="2" t="s">
        <v>2493</v>
      </c>
      <c r="W1157" s="2">
        <v>2</v>
      </c>
    </row>
    <row r="1158" spans="1:23" ht="15.75" customHeight="1" x14ac:dyDescent="0.35">
      <c r="A1158" s="2" t="s">
        <v>23</v>
      </c>
      <c r="L1158" s="2">
        <v>154</v>
      </c>
      <c r="M1158" s="2" t="s">
        <v>136</v>
      </c>
      <c r="O1158" s="2" t="s">
        <v>1355</v>
      </c>
      <c r="P1158" s="2" t="str">
        <f ca="1">IFERROR(__xludf.DUMMYFUNCTION("GOOGLETRANSLATE(O1158,""en"",""bn"")"),"মৌসুমী ঘোষ")</f>
        <v>মৌসুমী ঘোষ</v>
      </c>
      <c r="Q1158" s="2" t="s">
        <v>1322</v>
      </c>
      <c r="S1158" s="2" t="s">
        <v>1322</v>
      </c>
      <c r="V1158" s="2" t="s">
        <v>2494</v>
      </c>
      <c r="W1158" s="2">
        <v>2</v>
      </c>
    </row>
    <row r="1159" spans="1:23" ht="15.75" customHeight="1" x14ac:dyDescent="0.35">
      <c r="A1159" s="2" t="s">
        <v>23</v>
      </c>
      <c r="L1159" s="2">
        <v>102</v>
      </c>
      <c r="M1159" s="2" t="s">
        <v>169</v>
      </c>
      <c r="O1159" s="2" t="s">
        <v>2291</v>
      </c>
      <c r="P1159" s="2" t="str">
        <f ca="1">IFERROR(__xludf.DUMMYFUNCTION("GOOGLETRANSLATE(O1159,""en"",""bn"")"),"হরিপদ বিশ্বাস")</f>
        <v>হরিপদ বিশ্বাস</v>
      </c>
      <c r="Q1159" s="2" t="s">
        <v>1544</v>
      </c>
      <c r="S1159" s="2" t="s">
        <v>1544</v>
      </c>
      <c r="V1159" s="2" t="s">
        <v>2495</v>
      </c>
      <c r="W1159" s="2">
        <v>2</v>
      </c>
    </row>
    <row r="1160" spans="1:23" ht="15.75" customHeight="1" x14ac:dyDescent="0.35">
      <c r="A1160" s="2" t="s">
        <v>23</v>
      </c>
      <c r="L1160" s="2">
        <v>163</v>
      </c>
      <c r="M1160" s="2" t="s">
        <v>363</v>
      </c>
      <c r="O1160" s="2" t="s">
        <v>2496</v>
      </c>
      <c r="P1160" s="2" t="str">
        <f ca="1">IFERROR(__xludf.DUMMYFUNCTION("GOOGLETRANSLATE(O1160,""en"",""bn"")"),"ইমরান আলী")</f>
        <v>ইমরান আলী</v>
      </c>
      <c r="Q1160" s="2" t="s">
        <v>1322</v>
      </c>
      <c r="S1160" s="2" t="s">
        <v>1322</v>
      </c>
      <c r="V1160" s="2" t="s">
        <v>2497</v>
      </c>
      <c r="W1160" s="2">
        <v>2</v>
      </c>
    </row>
    <row r="1161" spans="1:23" ht="15.75" customHeight="1" x14ac:dyDescent="0.35">
      <c r="A1161" s="2" t="s">
        <v>23</v>
      </c>
      <c r="L1161" s="2">
        <v>193</v>
      </c>
      <c r="M1161" s="2" t="s">
        <v>118</v>
      </c>
      <c r="O1161" s="2" t="s">
        <v>2498</v>
      </c>
      <c r="P1161" s="2" t="str">
        <f ca="1">IFERROR(__xludf.DUMMYFUNCTION("GOOGLETRANSLATE(O1161,""en"",""bn"")"),"এসকে আকবর আলী")</f>
        <v>এসকে আকবর আলী</v>
      </c>
      <c r="Q1161" s="2" t="s">
        <v>1322</v>
      </c>
      <c r="S1161" s="2" t="s">
        <v>1322</v>
      </c>
      <c r="V1161" s="2" t="s">
        <v>2499</v>
      </c>
      <c r="W1161" s="2">
        <v>2</v>
      </c>
    </row>
    <row r="1162" spans="1:23" ht="15.75" customHeight="1" x14ac:dyDescent="0.35">
      <c r="A1162" s="2" t="s">
        <v>23</v>
      </c>
      <c r="L1162" s="2">
        <v>92</v>
      </c>
      <c r="M1162" s="2" t="s">
        <v>321</v>
      </c>
      <c r="O1162" s="2" t="s">
        <v>2500</v>
      </c>
      <c r="P1162" s="2" t="str">
        <f ca="1">IFERROR(__xludf.DUMMYFUNCTION("GOOGLETRANSLATE(O1162,""en"",""bn"")"),"বিশ্বজিৎ দাস")</f>
        <v>বিশ্বজিৎ দাস</v>
      </c>
      <c r="Q1162" s="2" t="s">
        <v>1322</v>
      </c>
      <c r="S1162" s="2" t="s">
        <v>1322</v>
      </c>
      <c r="V1162" s="2" t="s">
        <v>2501</v>
      </c>
      <c r="W1162" s="2">
        <v>2</v>
      </c>
    </row>
    <row r="1163" spans="1:23" ht="15.75" customHeight="1" x14ac:dyDescent="0.35">
      <c r="A1163" s="2" t="s">
        <v>23</v>
      </c>
      <c r="L1163" s="2">
        <v>85</v>
      </c>
      <c r="M1163" s="2" t="s">
        <v>387</v>
      </c>
      <c r="O1163" s="2" t="s">
        <v>2502</v>
      </c>
      <c r="P1163" s="2" t="str">
        <f ca="1">IFERROR(__xludf.DUMMYFUNCTION("GOOGLETRANSLATE(O1163,""en"",""bn"")"),"কেয়া বিশ্বাস")</f>
        <v>কেয়া বিশ্বাস</v>
      </c>
      <c r="Q1163" s="2" t="s">
        <v>1322</v>
      </c>
      <c r="S1163" s="2" t="s">
        <v>1322</v>
      </c>
      <c r="V1163" s="2" t="s">
        <v>2503</v>
      </c>
      <c r="W1163" s="2">
        <v>2</v>
      </c>
    </row>
    <row r="1164" spans="1:23" ht="15.75" customHeight="1" x14ac:dyDescent="0.35">
      <c r="A1164" s="2" t="s">
        <v>23</v>
      </c>
      <c r="L1164" s="2">
        <v>176</v>
      </c>
      <c r="M1164" s="2" t="s">
        <v>139</v>
      </c>
      <c r="O1164" s="2" t="s">
        <v>2504</v>
      </c>
      <c r="P1164" s="2" t="str">
        <f ca="1">IFERROR(__xludf.DUMMYFUNCTION("GOOGLETRANSLATE(O1164,""en"",""bn"")"),"বিশ্বজিৎ খানরা")</f>
        <v>বিশ্বজিৎ খানরা</v>
      </c>
      <c r="Q1164" s="2" t="s">
        <v>1322</v>
      </c>
      <c r="S1164" s="2" t="s">
        <v>1322</v>
      </c>
      <c r="V1164" s="2" t="s">
        <v>2505</v>
      </c>
      <c r="W1164" s="2">
        <v>2</v>
      </c>
    </row>
    <row r="1165" spans="1:23" ht="15.75" customHeight="1" x14ac:dyDescent="0.35">
      <c r="A1165" s="2" t="s">
        <v>23</v>
      </c>
      <c r="L1165" s="2">
        <v>172</v>
      </c>
      <c r="M1165" s="2" t="s">
        <v>28</v>
      </c>
      <c r="O1165" s="2" t="s">
        <v>2506</v>
      </c>
      <c r="P1165" s="2" t="str">
        <f ca="1">IFERROR(__xludf.DUMMYFUNCTION("GOOGLETRANSLATE(O1165,""en"",""bn"")"),"সঞ্জয় কর্মকার")</f>
        <v>সঞ্জয় কর্মকার</v>
      </c>
      <c r="Q1165" s="2" t="s">
        <v>1322</v>
      </c>
      <c r="S1165" s="2" t="s">
        <v>1322</v>
      </c>
      <c r="V1165" s="2" t="s">
        <v>2507</v>
      </c>
      <c r="W1165" s="2">
        <v>2</v>
      </c>
    </row>
    <row r="1166" spans="1:23" ht="15.75" customHeight="1" x14ac:dyDescent="0.35">
      <c r="A1166" s="2" t="s">
        <v>23</v>
      </c>
      <c r="L1166" s="2">
        <v>120</v>
      </c>
      <c r="M1166" s="2" t="s">
        <v>309</v>
      </c>
      <c r="O1166" s="2" t="s">
        <v>2508</v>
      </c>
      <c r="P1166" s="2" t="str">
        <f ca="1">IFERROR(__xludf.DUMMYFUNCTION("GOOGLETRANSLATE(O1166,""en"",""bn"")"),"আনিসুর রহমান")</f>
        <v>আনিসুর রহমান</v>
      </c>
      <c r="Q1166" s="2" t="s">
        <v>1322</v>
      </c>
      <c r="S1166" s="2" t="s">
        <v>1322</v>
      </c>
      <c r="V1166" s="2" t="s">
        <v>2509</v>
      </c>
      <c r="W1166" s="2">
        <v>2</v>
      </c>
    </row>
    <row r="1167" spans="1:23" ht="15.75" customHeight="1" x14ac:dyDescent="0.35">
      <c r="A1167" s="2" t="s">
        <v>23</v>
      </c>
      <c r="L1167" s="2">
        <v>121</v>
      </c>
      <c r="M1167" s="2" t="s">
        <v>348</v>
      </c>
      <c r="O1167" s="2" t="s">
        <v>2510</v>
      </c>
      <c r="P1167" s="2" t="str">
        <f ca="1">IFERROR(__xludf.DUMMYFUNCTION("GOOGLETRANSLATE(O1167,""en"",""bn"")"),"রফিকুল ইসলাম")</f>
        <v>রফিকুল ইসলাম</v>
      </c>
      <c r="Q1167" s="2" t="s">
        <v>1322</v>
      </c>
      <c r="S1167" s="2" t="s">
        <v>1322</v>
      </c>
      <c r="V1167" s="2" t="s">
        <v>2511</v>
      </c>
      <c r="W1167" s="2">
        <v>2</v>
      </c>
    </row>
    <row r="1168" spans="1:23" ht="15.75" customHeight="1" x14ac:dyDescent="0.35">
      <c r="A1168" s="2" t="s">
        <v>23</v>
      </c>
      <c r="L1168" s="2">
        <v>84</v>
      </c>
      <c r="M1168" s="2" t="s">
        <v>297</v>
      </c>
      <c r="O1168" s="2" t="s">
        <v>2512</v>
      </c>
      <c r="P1168" s="2" t="str">
        <f ca="1">IFERROR(__xludf.DUMMYFUNCTION("GOOGLETRANSLATE(O1168,""en"",""bn"")"),"রঘুনাথ দাস")</f>
        <v>রঘুনাথ দাস</v>
      </c>
      <c r="Q1168" s="2" t="s">
        <v>1322</v>
      </c>
      <c r="S1168" s="2" t="s">
        <v>1322</v>
      </c>
      <c r="V1168" s="2" t="s">
        <v>2513</v>
      </c>
      <c r="W1168" s="2">
        <v>2</v>
      </c>
    </row>
    <row r="1169" spans="1:23" ht="15.75" customHeight="1" x14ac:dyDescent="0.35">
      <c r="A1169" s="2" t="s">
        <v>23</v>
      </c>
      <c r="L1169" s="2">
        <v>186</v>
      </c>
      <c r="M1169" s="2" t="s">
        <v>250</v>
      </c>
      <c r="O1169" s="2" t="s">
        <v>2514</v>
      </c>
      <c r="P1169" s="2" t="str">
        <f ca="1">IFERROR(__xludf.DUMMYFUNCTION("GOOGLETRANSLATE(O1169,""en"",""bn"")"),"সন্দীপ ভট্টাচার্য")</f>
        <v>সন্দীপ ভট্টাচার্য</v>
      </c>
      <c r="Q1169" s="2" t="s">
        <v>1322</v>
      </c>
      <c r="S1169" s="2" t="s">
        <v>1322</v>
      </c>
      <c r="V1169" s="2" t="s">
        <v>2515</v>
      </c>
      <c r="W1169" s="2">
        <v>2</v>
      </c>
    </row>
    <row r="1170" spans="1:23" ht="15.75" customHeight="1" x14ac:dyDescent="0.35">
      <c r="A1170" s="2" t="s">
        <v>23</v>
      </c>
      <c r="L1170" s="2">
        <v>166</v>
      </c>
      <c r="M1170" s="2" t="s">
        <v>247</v>
      </c>
      <c r="O1170" s="2" t="s">
        <v>2516</v>
      </c>
      <c r="P1170" s="2" t="str">
        <f ca="1">IFERROR(__xludf.DUMMYFUNCTION("GOOGLETRANSLATE(O1170,""en"",""bn"")"),"ছায়া ঘোষ")</f>
        <v>ছায়া ঘোষ</v>
      </c>
      <c r="Q1170" s="2" t="s">
        <v>1322</v>
      </c>
      <c r="S1170" s="2" t="s">
        <v>1322</v>
      </c>
      <c r="V1170" s="2" t="s">
        <v>2517</v>
      </c>
      <c r="W1170" s="2">
        <v>2</v>
      </c>
    </row>
    <row r="1171" spans="1:23" ht="15.75" customHeight="1" x14ac:dyDescent="0.35">
      <c r="A1171" s="2" t="s">
        <v>23</v>
      </c>
      <c r="L1171" s="2">
        <v>267</v>
      </c>
      <c r="M1171" s="2" t="s">
        <v>54</v>
      </c>
      <c r="O1171" s="2" t="s">
        <v>2518</v>
      </c>
      <c r="P1171" s="2" t="str">
        <f ca="1">IFERROR(__xludf.DUMMYFUNCTION("GOOGLETRANSLATE(O1171,""en"",""bn"")"),"এসকে শরিফুল বাসার")</f>
        <v>এসকে শরিফুল বাসার</v>
      </c>
      <c r="Q1171" s="2" t="s">
        <v>1322</v>
      </c>
      <c r="S1171" s="2" t="s">
        <v>1322</v>
      </c>
      <c r="V1171" s="2" t="s">
        <v>2519</v>
      </c>
      <c r="W1171" s="2">
        <v>2</v>
      </c>
    </row>
    <row r="1172" spans="1:23" ht="15.75" customHeight="1" x14ac:dyDescent="0.35">
      <c r="A1172" s="2" t="s">
        <v>23</v>
      </c>
      <c r="L1172" s="2">
        <v>80</v>
      </c>
      <c r="M1172" s="2" t="s">
        <v>175</v>
      </c>
      <c r="O1172" s="2" t="s">
        <v>605</v>
      </c>
      <c r="P1172" s="2" t="str">
        <f ca="1">IFERROR(__xludf.DUMMYFUNCTION("GOOGLETRANSLATE(O1172,""en"",""bn"")"),"বাপন ঘোষ")</f>
        <v>বাপন ঘোষ</v>
      </c>
      <c r="Q1172" s="2" t="s">
        <v>1322</v>
      </c>
      <c r="S1172" s="2" t="s">
        <v>1322</v>
      </c>
      <c r="V1172" s="2" t="s">
        <v>2520</v>
      </c>
      <c r="W1172" s="2">
        <v>2</v>
      </c>
    </row>
    <row r="1173" spans="1:23" ht="15.75" customHeight="1" x14ac:dyDescent="0.35">
      <c r="A1173" s="2" t="s">
        <v>23</v>
      </c>
      <c r="L1173" s="2">
        <v>202</v>
      </c>
      <c r="M1173" s="2" t="s">
        <v>312</v>
      </c>
      <c r="O1173" s="2" t="s">
        <v>2521</v>
      </c>
      <c r="P1173" s="2" t="str">
        <f ca="1">IFERROR(__xludf.DUMMYFUNCTION("GOOGLETRANSLATE(O1173,""en"",""bn"")"),"বিকাশ চন্দ্র দোলুই")</f>
        <v>বিকাশ চন্দ্র দোলুই</v>
      </c>
      <c r="Q1173" s="2" t="s">
        <v>1322</v>
      </c>
      <c r="S1173" s="2" t="s">
        <v>1322</v>
      </c>
      <c r="V1173" s="2" t="s">
        <v>2522</v>
      </c>
      <c r="W1173" s="2">
        <v>2</v>
      </c>
    </row>
    <row r="1174" spans="1:23" ht="15.75" customHeight="1" x14ac:dyDescent="0.35">
      <c r="A1174" s="2" t="s">
        <v>23</v>
      </c>
      <c r="L1174" s="2">
        <v>127</v>
      </c>
      <c r="M1174" s="2" t="s">
        <v>289</v>
      </c>
      <c r="O1174" s="2" t="s">
        <v>2523</v>
      </c>
      <c r="P1174" s="2" t="str">
        <f ca="1">IFERROR(__xludf.DUMMYFUNCTION("GOOGLETRANSLATE(O1174,""en"",""bn"")"),"রেবাতি মন্ডল মৃধা")</f>
        <v>রেবাতি মন্ডল মৃধা</v>
      </c>
      <c r="Q1174" s="2" t="s">
        <v>1322</v>
      </c>
      <c r="S1174" s="2" t="s">
        <v>1322</v>
      </c>
      <c r="V1174" s="2" t="s">
        <v>2524</v>
      </c>
      <c r="W1174" s="2">
        <v>2</v>
      </c>
    </row>
    <row r="1175" spans="1:23" ht="15.75" customHeight="1" x14ac:dyDescent="0.35">
      <c r="A1175" s="2" t="s">
        <v>23</v>
      </c>
      <c r="L1175" s="2">
        <v>165</v>
      </c>
      <c r="M1175" s="2" t="s">
        <v>390</v>
      </c>
      <c r="O1175" s="2" t="s">
        <v>2525</v>
      </c>
      <c r="P1175" s="2" t="str">
        <f ca="1">IFERROR(__xludf.DUMMYFUNCTION("GOOGLETRANSLATE(O1175,""en"",""bn"")"),"লক্ষ্মী প্রসাদ")</f>
        <v>লক্ষ্মী প্রসাদ</v>
      </c>
      <c r="Q1175" s="2" t="s">
        <v>1322</v>
      </c>
      <c r="S1175" s="2" t="s">
        <v>1322</v>
      </c>
      <c r="V1175" s="2" t="s">
        <v>2526</v>
      </c>
      <c r="W1175" s="2">
        <v>2</v>
      </c>
    </row>
    <row r="1176" spans="1:23" ht="15.75" customHeight="1" x14ac:dyDescent="0.35">
      <c r="A1176" s="2" t="s">
        <v>23</v>
      </c>
      <c r="L1176" s="2">
        <v>89</v>
      </c>
      <c r="M1176" s="2" t="s">
        <v>426</v>
      </c>
      <c r="O1176" s="2" t="s">
        <v>2527</v>
      </c>
      <c r="P1176" s="2" t="str">
        <f ca="1">IFERROR(__xludf.DUMMYFUNCTION("GOOGLETRANSLATE(O1176,""en"",""bn"")"),"গোবিন্দ পডডার")</f>
        <v>গোবিন্দ পডডার</v>
      </c>
      <c r="Q1176" s="2" t="s">
        <v>1322</v>
      </c>
      <c r="S1176" s="2" t="s">
        <v>1322</v>
      </c>
      <c r="V1176" s="2" t="s">
        <v>2528</v>
      </c>
      <c r="W1176" s="2">
        <v>2</v>
      </c>
    </row>
    <row r="1177" spans="1:23" ht="15.75" customHeight="1" x14ac:dyDescent="0.35">
      <c r="A1177" s="2" t="s">
        <v>23</v>
      </c>
      <c r="L1177" s="2">
        <v>143</v>
      </c>
      <c r="M1177" s="2" t="s">
        <v>163</v>
      </c>
      <c r="O1177" s="2" t="s">
        <v>2529</v>
      </c>
      <c r="P1177" s="2" t="str">
        <f ca="1">IFERROR(__xludf.DUMMYFUNCTION("GOOGLETRANSLATE(O1177,""en"",""bn"")"),"পান্নালাল হালদার")</f>
        <v>পান্নালাল হালদার</v>
      </c>
      <c r="Q1177" s="2" t="s">
        <v>1322</v>
      </c>
      <c r="S1177" s="2" t="s">
        <v>1322</v>
      </c>
      <c r="V1177" s="2" t="s">
        <v>2530</v>
      </c>
      <c r="W1177" s="2">
        <v>2</v>
      </c>
    </row>
    <row r="1178" spans="1:23" ht="15.75" customHeight="1" x14ac:dyDescent="0.35">
      <c r="A1178" s="2" t="s">
        <v>23</v>
      </c>
      <c r="L1178" s="2">
        <v>161</v>
      </c>
      <c r="M1178" s="2" t="s">
        <v>112</v>
      </c>
      <c r="O1178" s="2" t="s">
        <v>2531</v>
      </c>
      <c r="P1178" s="2" t="str">
        <f ca="1">IFERROR(__xludf.DUMMYFUNCTION("GOOGLETRANSLATE(O1178,""en"",""bn"")"),"মেহবুব আলম")</f>
        <v>মেহবুব আলম</v>
      </c>
      <c r="Q1178" s="2" t="s">
        <v>1322</v>
      </c>
      <c r="S1178" s="2" t="s">
        <v>1322</v>
      </c>
      <c r="V1178" s="2" t="s">
        <v>2532</v>
      </c>
      <c r="W1178" s="2">
        <v>2</v>
      </c>
    </row>
    <row r="1179" spans="1:23" ht="15.75" customHeight="1" x14ac:dyDescent="0.35">
      <c r="A1179" s="2" t="s">
        <v>23</v>
      </c>
      <c r="L1179" s="2">
        <v>173</v>
      </c>
      <c r="M1179" s="2" t="s">
        <v>127</v>
      </c>
      <c r="O1179" s="2" t="s">
        <v>2533</v>
      </c>
      <c r="P1179" s="2" t="str">
        <f ca="1">IFERROR(__xludf.DUMMYFUNCTION("GOOGLETRANSLATE(O1179,""en"",""bn"")"),"মধুশ্রী ঘোষ")</f>
        <v>মধুশ্রী ঘোষ</v>
      </c>
      <c r="Q1179" s="2" t="s">
        <v>1322</v>
      </c>
      <c r="S1179" s="2" t="s">
        <v>1322</v>
      </c>
      <c r="V1179" s="2" t="s">
        <v>2534</v>
      </c>
      <c r="W1179" s="2">
        <v>2</v>
      </c>
    </row>
    <row r="1180" spans="1:23" ht="15.75" customHeight="1" x14ac:dyDescent="0.35">
      <c r="A1180" s="2" t="s">
        <v>23</v>
      </c>
      <c r="L1180" s="2">
        <v>101</v>
      </c>
      <c r="M1180" s="2" t="s">
        <v>154</v>
      </c>
      <c r="O1180" s="2" t="s">
        <v>2535</v>
      </c>
      <c r="P1180" s="2" t="str">
        <f ca="1">IFERROR(__xludf.DUMMYFUNCTION("GOOGLETRANSLATE(O1180,""en"",""bn"")"),"তাপস সর্দার")</f>
        <v>তাপস সর্দার</v>
      </c>
      <c r="Q1180" s="2" t="s">
        <v>1322</v>
      </c>
      <c r="S1180" s="2" t="s">
        <v>1322</v>
      </c>
      <c r="V1180" s="2" t="s">
        <v>2536</v>
      </c>
      <c r="W1180" s="2">
        <v>2</v>
      </c>
    </row>
    <row r="1181" spans="1:23" ht="15.75" customHeight="1" x14ac:dyDescent="0.35">
      <c r="A1181" s="2" t="s">
        <v>23</v>
      </c>
      <c r="L1181" s="2">
        <v>88</v>
      </c>
      <c r="M1181" s="2" t="s">
        <v>306</v>
      </c>
      <c r="O1181" s="2" t="s">
        <v>2537</v>
      </c>
      <c r="P1181" s="2" t="str">
        <f ca="1">IFERROR(__xludf.DUMMYFUNCTION("GOOGLETRANSLATE(O1181,""en"",""bn"")"),"চায়না বিশ্বাস বালা")</f>
        <v>চায়না বিশ্বাস বালা</v>
      </c>
      <c r="Q1181" s="2" t="s">
        <v>1322</v>
      </c>
      <c r="S1181" s="2" t="s">
        <v>1322</v>
      </c>
      <c r="V1181" s="2" t="s">
        <v>2538</v>
      </c>
      <c r="W1181" s="2">
        <v>2</v>
      </c>
    </row>
    <row r="1182" spans="1:23" ht="15.75" customHeight="1" x14ac:dyDescent="0.35">
      <c r="A1182" s="2" t="s">
        <v>23</v>
      </c>
      <c r="L1182" s="2">
        <v>135</v>
      </c>
      <c r="M1182" s="2" t="s">
        <v>333</v>
      </c>
      <c r="O1182" s="2" t="s">
        <v>2539</v>
      </c>
      <c r="P1182" s="2" t="str">
        <f ca="1">IFERROR(__xludf.DUMMYFUNCTION("GOOGLETRANSLATE(O1182,""en"",""bn"")"),"জয়দেব হালদার এস/ও - সনাতন হালদার")</f>
        <v>জয়দেব হালদার এস/ও - সনাতন হালদার</v>
      </c>
      <c r="Q1182" s="2" t="s">
        <v>1322</v>
      </c>
      <c r="S1182" s="2" t="s">
        <v>1322</v>
      </c>
      <c r="V1182" s="2" t="s">
        <v>2540</v>
      </c>
      <c r="W1182" s="2">
        <v>2</v>
      </c>
    </row>
    <row r="1183" spans="1:23" ht="15.75" customHeight="1" x14ac:dyDescent="0.35">
      <c r="A1183" s="2" t="s">
        <v>23</v>
      </c>
      <c r="L1183" s="2">
        <v>81</v>
      </c>
      <c r="M1183" s="2" t="s">
        <v>217</v>
      </c>
      <c r="O1183" s="2" t="s">
        <v>2541</v>
      </c>
      <c r="P1183" s="2" t="str">
        <f ca="1">IFERROR(__xludf.DUMMYFUNCTION("GOOGLETRANSLATE(O1183,""en"",""bn"")"),"হরিদাস দে")</f>
        <v>হরিদাস দে</v>
      </c>
      <c r="Q1183" s="2" t="s">
        <v>1322</v>
      </c>
      <c r="S1183" s="2" t="s">
        <v>1322</v>
      </c>
      <c r="V1183" s="2" t="s">
        <v>2542</v>
      </c>
      <c r="W1183" s="2">
        <v>2</v>
      </c>
    </row>
    <row r="1184" spans="1:23" ht="15.75" customHeight="1" x14ac:dyDescent="0.35">
      <c r="A1184" s="2" t="s">
        <v>23</v>
      </c>
      <c r="L1184" s="2">
        <v>109</v>
      </c>
      <c r="M1184" s="2" t="s">
        <v>336</v>
      </c>
      <c r="O1184" s="2" t="s">
        <v>2543</v>
      </c>
      <c r="P1184" s="2" t="str">
        <f ca="1">IFERROR(__xludf.DUMMYFUNCTION("GOOGLETRANSLATE(O1184,""en"",""bn"")"),"অমিত দত্ত")</f>
        <v>অমিত দত্ত</v>
      </c>
      <c r="Q1184" s="2" t="s">
        <v>1322</v>
      </c>
      <c r="S1184" s="2" t="s">
        <v>1322</v>
      </c>
      <c r="V1184" s="2" t="s">
        <v>2544</v>
      </c>
      <c r="W1184" s="2">
        <v>2</v>
      </c>
    </row>
    <row r="1185" spans="1:23" ht="15.75" customHeight="1" x14ac:dyDescent="0.35">
      <c r="A1185" s="2" t="s">
        <v>23</v>
      </c>
      <c r="L1185" s="2">
        <v>169</v>
      </c>
      <c r="M1185" s="2" t="s">
        <v>90</v>
      </c>
      <c r="O1185" s="2" t="s">
        <v>2545</v>
      </c>
      <c r="P1185" s="2" t="str">
        <f ca="1">IFERROR(__xludf.DUMMYFUNCTION("GOOGLETRANSLATE(O1185,""en"",""bn"")"),"প্রতাপ গোস্বামী")</f>
        <v>প্রতাপ গোস্বামী</v>
      </c>
      <c r="Q1185" s="2" t="s">
        <v>1322</v>
      </c>
      <c r="S1185" s="2" t="s">
        <v>1322</v>
      </c>
      <c r="V1185" s="2" t="s">
        <v>2546</v>
      </c>
      <c r="W1185" s="2">
        <v>2</v>
      </c>
    </row>
    <row r="1186" spans="1:23" ht="15.75" customHeight="1" x14ac:dyDescent="0.35">
      <c r="A1186" s="2" t="s">
        <v>23</v>
      </c>
      <c r="L1186" s="2">
        <v>95</v>
      </c>
      <c r="M1186" s="2" t="s">
        <v>142</v>
      </c>
      <c r="O1186" s="2" t="s">
        <v>2547</v>
      </c>
      <c r="P1186" s="2" t="str">
        <f ca="1">IFERROR(__xludf.DUMMYFUNCTION("GOOGLETRANSLATE(O1186,""en"",""bn"")"),"দীপক হালদার")</f>
        <v>দীপক হালদার</v>
      </c>
      <c r="Q1186" s="2" t="s">
        <v>1322</v>
      </c>
      <c r="S1186" s="2" t="s">
        <v>1322</v>
      </c>
      <c r="V1186" s="2" t="s">
        <v>2548</v>
      </c>
      <c r="W1186" s="2">
        <v>2</v>
      </c>
    </row>
    <row r="1187" spans="1:23" ht="15.75" customHeight="1" x14ac:dyDescent="0.35">
      <c r="A1187" s="2" t="s">
        <v>23</v>
      </c>
      <c r="L1187" s="2">
        <v>86</v>
      </c>
      <c r="M1187" s="2" t="s">
        <v>432</v>
      </c>
      <c r="O1187" s="2" t="s">
        <v>2549</v>
      </c>
      <c r="P1187" s="2" t="str">
        <f ca="1">IFERROR(__xludf.DUMMYFUNCTION("GOOGLETRANSLATE(O1187,""en"",""bn"")"),"শ্যামল দাস")</f>
        <v>শ্যামল দাস</v>
      </c>
      <c r="Q1187" s="2" t="s">
        <v>1322</v>
      </c>
      <c r="S1187" s="2" t="s">
        <v>1322</v>
      </c>
      <c r="V1187" s="2" t="s">
        <v>2550</v>
      </c>
      <c r="W1187" s="2">
        <v>2</v>
      </c>
    </row>
    <row r="1188" spans="1:23" ht="15.75" customHeight="1" x14ac:dyDescent="0.35">
      <c r="A1188" s="2" t="s">
        <v>23</v>
      </c>
      <c r="L1188" s="2">
        <v>155</v>
      </c>
      <c r="M1188" s="2" t="s">
        <v>262</v>
      </c>
      <c r="O1188" s="2" t="s">
        <v>2551</v>
      </c>
      <c r="P1188" s="2" t="str">
        <f ca="1">IFERROR(__xludf.DUMMYFUNCTION("GOOGLETRANSLATE(O1188,""en"",""bn"")"),"সুপ্রকাশ মন্ডল")</f>
        <v>সুপ্রকাশ মন্ডল</v>
      </c>
      <c r="Q1188" s="2" t="s">
        <v>1322</v>
      </c>
      <c r="S1188" s="2" t="s">
        <v>1322</v>
      </c>
      <c r="V1188" s="2" t="s">
        <v>2552</v>
      </c>
      <c r="W1188" s="2">
        <v>2</v>
      </c>
    </row>
    <row r="1189" spans="1:23" ht="15.75" customHeight="1" x14ac:dyDescent="0.35">
      <c r="A1189" s="2" t="s">
        <v>23</v>
      </c>
      <c r="L1189" s="2">
        <v>137</v>
      </c>
      <c r="M1189" s="2" t="s">
        <v>372</v>
      </c>
      <c r="O1189" s="2" t="s">
        <v>2553</v>
      </c>
      <c r="P1189" s="2" t="str">
        <f ca="1">IFERROR(__xludf.DUMMYFUNCTION("GOOGLETRANSLATE(O1189,""en"",""bn"")"),"বাপি বাগানি")</f>
        <v>বাপি বাগানি</v>
      </c>
      <c r="Q1189" s="2" t="s">
        <v>1322</v>
      </c>
      <c r="S1189" s="2" t="s">
        <v>1322</v>
      </c>
      <c r="V1189" s="2" t="s">
        <v>2554</v>
      </c>
      <c r="W1189" s="2">
        <v>2</v>
      </c>
    </row>
    <row r="1190" spans="1:23" ht="15.75" customHeight="1" x14ac:dyDescent="0.35">
      <c r="A1190" s="2" t="s">
        <v>23</v>
      </c>
      <c r="L1190" s="2">
        <v>94</v>
      </c>
      <c r="M1190" s="2" t="s">
        <v>253</v>
      </c>
      <c r="O1190" s="2" t="s">
        <v>2555</v>
      </c>
      <c r="P1190" s="2" t="str">
        <f ca="1">IFERROR(__xludf.DUMMYFUNCTION("GOOGLETRANSLATE(O1190,""en"",""bn"")"),"দুলাল চন্দ্র বার")</f>
        <v>দুলাল চন্দ্র বার</v>
      </c>
      <c r="Q1190" s="2" t="s">
        <v>1322</v>
      </c>
      <c r="S1190" s="2" t="s">
        <v>1322</v>
      </c>
      <c r="V1190" s="2" t="s">
        <v>2556</v>
      </c>
      <c r="W1190" s="2">
        <v>2</v>
      </c>
    </row>
    <row r="1191" spans="1:23" ht="15.75" customHeight="1" x14ac:dyDescent="0.35">
      <c r="A1191" s="2" t="s">
        <v>23</v>
      </c>
      <c r="L1191" s="2">
        <v>104</v>
      </c>
      <c r="M1191" s="2" t="s">
        <v>396</v>
      </c>
      <c r="O1191" s="2" t="s">
        <v>2557</v>
      </c>
      <c r="P1191" s="2" t="str">
        <f ca="1">IFERROR(__xludf.DUMMYFUNCTION("GOOGLETRANSLATE(O1191,""en"",""bn"")"),"মিলান পাত্র")</f>
        <v>মিলান পাত্র</v>
      </c>
      <c r="Q1191" s="2" t="s">
        <v>1322</v>
      </c>
      <c r="S1191" s="2" t="s">
        <v>1322</v>
      </c>
      <c r="V1191" s="2" t="s">
        <v>2558</v>
      </c>
      <c r="W1191" s="2">
        <v>2</v>
      </c>
    </row>
    <row r="1192" spans="1:23" ht="15.75" customHeight="1" x14ac:dyDescent="0.35">
      <c r="A1192" s="2" t="s">
        <v>23</v>
      </c>
      <c r="L1192" s="2">
        <v>99</v>
      </c>
      <c r="M1192" s="2" t="s">
        <v>268</v>
      </c>
      <c r="O1192" s="2" t="s">
        <v>2559</v>
      </c>
      <c r="P1192" s="2" t="str">
        <f ca="1">IFERROR(__xludf.DUMMYFUNCTION("GOOGLETRANSLATE(O1192,""en"",""bn"")"),"আব্দুল হান্নান সরদার")</f>
        <v>আব্দুল হান্নান সরদার</v>
      </c>
      <c r="Q1192" s="2" t="s">
        <v>1322</v>
      </c>
      <c r="S1192" s="2" t="s">
        <v>1322</v>
      </c>
      <c r="V1192" s="2" t="s">
        <v>2560</v>
      </c>
      <c r="W1192" s="2">
        <v>2</v>
      </c>
    </row>
    <row r="1193" spans="1:23" ht="15.75" customHeight="1" x14ac:dyDescent="0.35">
      <c r="A1193" s="2" t="s">
        <v>23</v>
      </c>
      <c r="L1193" s="2">
        <v>79</v>
      </c>
      <c r="M1193" s="2" t="s">
        <v>103</v>
      </c>
      <c r="O1193" s="2" t="s">
        <v>2561</v>
      </c>
      <c r="P1193" s="2" t="str">
        <f ca="1">IFERROR(__xludf.DUMMYFUNCTION("GOOGLETRANSLATE(O1193,""en"",""bn"")"),"আবদুর রউফ")</f>
        <v>আবদুর রউফ</v>
      </c>
      <c r="Q1193" s="2" t="s">
        <v>1322</v>
      </c>
      <c r="S1193" s="2" t="s">
        <v>1322</v>
      </c>
      <c r="V1193" s="2" t="s">
        <v>2562</v>
      </c>
      <c r="W1193" s="2">
        <v>2</v>
      </c>
    </row>
    <row r="1194" spans="1:23" ht="15.75" customHeight="1" x14ac:dyDescent="0.35">
      <c r="A1194" s="2" t="s">
        <v>23</v>
      </c>
      <c r="L1194" s="2">
        <v>105</v>
      </c>
      <c r="M1194" s="2" t="s">
        <v>342</v>
      </c>
      <c r="O1194" s="2" t="s">
        <v>1266</v>
      </c>
      <c r="P1194" s="2" t="str">
        <f ca="1">IFERROR(__xludf.DUMMYFUNCTION("GOOGLETRANSLATE(O1194,""en"",""bn"")"),"পবন কুমার সিং")</f>
        <v>পবন কুমার সিং</v>
      </c>
      <c r="Q1194" s="2" t="s">
        <v>1322</v>
      </c>
      <c r="S1194" s="2" t="s">
        <v>1322</v>
      </c>
      <c r="V1194" s="2" t="s">
        <v>2563</v>
      </c>
      <c r="W1194" s="2">
        <v>2</v>
      </c>
    </row>
    <row r="1195" spans="1:23" ht="15.75" customHeight="1" x14ac:dyDescent="0.35">
      <c r="A1195" s="2" t="s">
        <v>23</v>
      </c>
      <c r="L1195" s="2">
        <v>271</v>
      </c>
      <c r="M1195" s="2" t="s">
        <v>444</v>
      </c>
      <c r="O1195" s="2" t="s">
        <v>2564</v>
      </c>
      <c r="P1195" s="2" t="str">
        <f ca="1">IFERROR(__xludf.DUMMYFUNCTION("GOOGLETRANSLATE(O1195,""en"",""bn"")"),"মুরসেদ শেখ")</f>
        <v>মুরসেদ শেখ</v>
      </c>
      <c r="Q1195" s="2" t="s">
        <v>1322</v>
      </c>
      <c r="S1195" s="2" t="s">
        <v>1322</v>
      </c>
      <c r="V1195" s="2" t="s">
        <v>2565</v>
      </c>
      <c r="W1195" s="2">
        <v>2</v>
      </c>
    </row>
    <row r="1196" spans="1:23" ht="15.75" customHeight="1" x14ac:dyDescent="0.35">
      <c r="A1196" s="2" t="s">
        <v>23</v>
      </c>
      <c r="L1196" s="2">
        <v>266</v>
      </c>
      <c r="M1196" s="2" t="s">
        <v>214</v>
      </c>
      <c r="O1196" s="2" t="s">
        <v>2566</v>
      </c>
      <c r="P1196" s="2" t="str">
        <f ca="1">IFERROR(__xludf.DUMMYFUNCTION("GOOGLETRANSLATE(O1196,""en"",""bn"")"),"প্রিয়াঙ্কা দাস")</f>
        <v>প্রিয়াঙ্কা দাস</v>
      </c>
      <c r="Q1196" s="2" t="s">
        <v>1322</v>
      </c>
      <c r="S1196" s="2" t="s">
        <v>1322</v>
      </c>
      <c r="V1196" s="2" t="s">
        <v>2567</v>
      </c>
      <c r="W1196" s="2">
        <v>2</v>
      </c>
    </row>
    <row r="1197" spans="1:23" ht="15.75" customHeight="1" x14ac:dyDescent="0.35">
      <c r="A1197" s="2" t="s">
        <v>23</v>
      </c>
      <c r="L1197" s="2">
        <v>96</v>
      </c>
      <c r="M1197" s="2" t="s">
        <v>229</v>
      </c>
      <c r="O1197" s="2" t="s">
        <v>2568</v>
      </c>
      <c r="P1197" s="2" t="str">
        <f ca="1">IFERROR(__xludf.DUMMYFUNCTION("GOOGLETRANSLATE(O1197,""en"",""bn"")"),"বিপ্লব টিকাদার")</f>
        <v>বিপ্লব টিকাদার</v>
      </c>
      <c r="Q1197" s="2" t="s">
        <v>1322</v>
      </c>
      <c r="S1197" s="2" t="s">
        <v>1322</v>
      </c>
      <c r="V1197" s="2" t="s">
        <v>2569</v>
      </c>
      <c r="W1197" s="2">
        <v>2</v>
      </c>
    </row>
    <row r="1198" spans="1:23" ht="15.75" customHeight="1" x14ac:dyDescent="0.35">
      <c r="A1198" s="2" t="s">
        <v>23</v>
      </c>
      <c r="L1198" s="2">
        <v>126</v>
      </c>
      <c r="M1198" s="2" t="s">
        <v>133</v>
      </c>
      <c r="O1198" s="2" t="s">
        <v>2570</v>
      </c>
      <c r="P1198" s="2" t="str">
        <f ca="1">IFERROR(__xludf.DUMMYFUNCTION("GOOGLETRANSLATE(O1198,""en"",""bn"")"),"শুভদীপ মন্ডল")</f>
        <v>শুভদীপ মন্ডল</v>
      </c>
      <c r="Q1198" s="2" t="s">
        <v>1322</v>
      </c>
      <c r="S1198" s="2" t="s">
        <v>1322</v>
      </c>
      <c r="V1198" s="2" t="s">
        <v>2571</v>
      </c>
      <c r="W1198" s="2">
        <v>2</v>
      </c>
    </row>
    <row r="1199" spans="1:23" ht="15.75" customHeight="1" x14ac:dyDescent="0.35">
      <c r="A1199" s="2" t="s">
        <v>23</v>
      </c>
      <c r="L1199" s="2">
        <v>118</v>
      </c>
      <c r="M1199" s="2" t="s">
        <v>121</v>
      </c>
      <c r="O1199" s="2" t="s">
        <v>2572</v>
      </c>
      <c r="P1199" s="2" t="str">
        <f ca="1">IFERROR(__xludf.DUMMYFUNCTION("GOOGLETRANSLATE(O1199,""en"",""bn"")"),"অনিন্দ ব্যানার্জী")</f>
        <v>অনিন্দ ব্যানার্জী</v>
      </c>
      <c r="Q1199" s="2" t="s">
        <v>1322</v>
      </c>
      <c r="S1199" s="2" t="s">
        <v>1322</v>
      </c>
      <c r="V1199" s="2" t="s">
        <v>2573</v>
      </c>
      <c r="W1199" s="2">
        <v>2</v>
      </c>
    </row>
    <row r="1200" spans="1:23" ht="15.75" customHeight="1" x14ac:dyDescent="0.35">
      <c r="A1200" s="2" t="s">
        <v>23</v>
      </c>
      <c r="L1200" s="2">
        <v>188</v>
      </c>
      <c r="M1200" s="2" t="s">
        <v>106</v>
      </c>
      <c r="O1200" s="2" t="s">
        <v>2574</v>
      </c>
      <c r="P1200" s="2" t="str">
        <f ca="1">IFERROR(__xludf.DUMMYFUNCTION("GOOGLETRANSLATE(O1200,""en"",""bn"")"),"সঞ্জয় শেখ")</f>
        <v>সঞ্জয় শেখ</v>
      </c>
      <c r="Q1200" s="2" t="s">
        <v>1322</v>
      </c>
      <c r="S1200" s="2" t="s">
        <v>1322</v>
      </c>
      <c r="V1200" s="2" t="s">
        <v>2575</v>
      </c>
      <c r="W1200" s="2">
        <v>2</v>
      </c>
    </row>
    <row r="1201" spans="1:23" ht="15.75" customHeight="1" x14ac:dyDescent="0.35">
      <c r="A1201" s="2" t="s">
        <v>23</v>
      </c>
      <c r="L1201" s="2">
        <v>195</v>
      </c>
      <c r="M1201" s="2" t="s">
        <v>235</v>
      </c>
      <c r="O1201" s="2" t="s">
        <v>2576</v>
      </c>
      <c r="P1201" s="2" t="str">
        <f ca="1">IFERROR(__xludf.DUMMYFUNCTION("GOOGLETRANSLATE(O1201,""en"",""bn"")"),"প্রীতম দত্ত")</f>
        <v>প্রীতম দত্ত</v>
      </c>
      <c r="Q1201" s="2" t="s">
        <v>1322</v>
      </c>
      <c r="S1201" s="2" t="s">
        <v>1322</v>
      </c>
      <c r="V1201" s="2" t="s">
        <v>2577</v>
      </c>
      <c r="W1201" s="2">
        <v>2</v>
      </c>
    </row>
    <row r="1202" spans="1:23" ht="15.75" customHeight="1" x14ac:dyDescent="0.35">
      <c r="A1202" s="2" t="s">
        <v>23</v>
      </c>
      <c r="L1202" s="2">
        <v>142</v>
      </c>
      <c r="M1202" s="2" t="s">
        <v>414</v>
      </c>
      <c r="O1202" s="2" t="s">
        <v>2578</v>
      </c>
      <c r="P1202" s="2" t="str">
        <f ca="1">IFERROR(__xludf.DUMMYFUNCTION("GOOGLETRANSLATE(O1202,""en"",""bn"")"),"গৌতম হালদার")</f>
        <v>গৌতম হালদার</v>
      </c>
      <c r="Q1202" s="2" t="s">
        <v>1322</v>
      </c>
      <c r="S1202" s="2" t="s">
        <v>1322</v>
      </c>
      <c r="V1202" s="2" t="s">
        <v>2579</v>
      </c>
      <c r="W1202" s="2">
        <v>2</v>
      </c>
    </row>
    <row r="1203" spans="1:23" ht="15.75" customHeight="1" x14ac:dyDescent="0.35">
      <c r="A1203" s="2" t="s">
        <v>23</v>
      </c>
      <c r="L1203" s="2">
        <v>129</v>
      </c>
      <c r="M1203" s="2" t="s">
        <v>24</v>
      </c>
      <c r="O1203" s="2" t="s">
        <v>2580</v>
      </c>
      <c r="P1203" s="2" t="str">
        <f ca="1">IFERROR(__xludf.DUMMYFUNCTION("GOOGLETRANSLATE(O1203,""en"",""bn"")"),"শঙ্কর নস্কর")</f>
        <v>শঙ্কর নস্কর</v>
      </c>
      <c r="Q1203" s="2" t="s">
        <v>1322</v>
      </c>
      <c r="S1203" s="2" t="s">
        <v>1322</v>
      </c>
      <c r="V1203" s="2" t="s">
        <v>2581</v>
      </c>
      <c r="W1203" s="2">
        <v>2</v>
      </c>
    </row>
    <row r="1204" spans="1:23" ht="15.75" customHeight="1" x14ac:dyDescent="0.35">
      <c r="A1204" s="2" t="s">
        <v>23</v>
      </c>
      <c r="L1204" s="2">
        <v>190</v>
      </c>
      <c r="M1204" s="2" t="s">
        <v>300</v>
      </c>
      <c r="O1204" s="2" t="s">
        <v>2582</v>
      </c>
      <c r="P1204" s="2" t="str">
        <f ca="1">IFERROR(__xludf.DUMMYFUNCTION("GOOGLETRANSLATE(O1204,""en"",""bn"")"),"বিষ্ণুপদ বিশ্বাস")</f>
        <v>বিষ্ণুপদ বিশ্বাস</v>
      </c>
      <c r="Q1204" s="2" t="s">
        <v>1322</v>
      </c>
      <c r="S1204" s="2" t="s">
        <v>1322</v>
      </c>
      <c r="V1204" s="2" t="s">
        <v>2583</v>
      </c>
      <c r="W1204" s="2">
        <v>2</v>
      </c>
    </row>
    <row r="1205" spans="1:23" ht="15.75" customHeight="1" x14ac:dyDescent="0.35">
      <c r="A1205" s="2" t="s">
        <v>23</v>
      </c>
      <c r="L1205" s="2">
        <v>134</v>
      </c>
      <c r="M1205" s="2" t="s">
        <v>274</v>
      </c>
      <c r="O1205" s="2" t="s">
        <v>2584</v>
      </c>
      <c r="P1205" s="2" t="str">
        <f ca="1">IFERROR(__xludf.DUMMYFUNCTION("GOOGLETRANSLATE(O1205,""en"",""bn"")"),"তাপস মণ্ডল, পিতা-দিবাকর মণ্ডল")</f>
        <v>তাপস মণ্ডল, পিতা-দিবাকর মণ্ডল</v>
      </c>
      <c r="Q1205" s="2" t="s">
        <v>1322</v>
      </c>
      <c r="S1205" s="2" t="s">
        <v>1322</v>
      </c>
      <c r="V1205" s="2" t="s">
        <v>2585</v>
      </c>
      <c r="W1205" s="2">
        <v>2</v>
      </c>
    </row>
    <row r="1206" spans="1:23" ht="15.75" customHeight="1" x14ac:dyDescent="0.35">
      <c r="A1206" s="2" t="s">
        <v>23</v>
      </c>
      <c r="L1206" s="2">
        <v>272</v>
      </c>
      <c r="M1206" s="2" t="s">
        <v>357</v>
      </c>
      <c r="O1206" s="2" t="s">
        <v>2586</v>
      </c>
      <c r="P1206" s="2" t="str">
        <f ca="1">IFERROR(__xludf.DUMMYFUNCTION("GOOGLETRANSLATE(O1206,""en"",""bn"")"),"উদয় দাস")</f>
        <v>উদয় দাস</v>
      </c>
      <c r="Q1206" s="2" t="s">
        <v>1322</v>
      </c>
      <c r="S1206" s="2" t="s">
        <v>1322</v>
      </c>
      <c r="V1206" s="2" t="s">
        <v>2587</v>
      </c>
      <c r="W1206" s="2">
        <v>2</v>
      </c>
    </row>
    <row r="1207" spans="1:23" ht="15.75" customHeight="1" x14ac:dyDescent="0.35">
      <c r="A1207" s="2" t="s">
        <v>23</v>
      </c>
      <c r="L1207" s="2">
        <v>157</v>
      </c>
      <c r="M1207" s="2" t="s">
        <v>36</v>
      </c>
      <c r="O1207" s="2" t="s">
        <v>2588</v>
      </c>
      <c r="P1207" s="2" t="str">
        <f ca="1">IFERROR(__xludf.DUMMYFUNCTION("GOOGLETRANSLATE(O1207,""en"",""bn"")"),"আহমেদ আলী মোল্লা")</f>
        <v>আহমেদ আলী মোল্লা</v>
      </c>
      <c r="Q1207" s="2" t="s">
        <v>1322</v>
      </c>
      <c r="S1207" s="2" t="s">
        <v>1322</v>
      </c>
      <c r="V1207" s="2" t="s">
        <v>2589</v>
      </c>
      <c r="W1207" s="2">
        <v>2</v>
      </c>
    </row>
    <row r="1208" spans="1:23" ht="15.75" customHeight="1" x14ac:dyDescent="0.35">
      <c r="A1208" s="2" t="s">
        <v>23</v>
      </c>
      <c r="L1208" s="2">
        <v>170</v>
      </c>
      <c r="M1208" s="2" t="s">
        <v>438</v>
      </c>
      <c r="O1208" s="2" t="s">
        <v>2590</v>
      </c>
      <c r="P1208" s="2" t="str">
        <f ca="1">IFERROR(__xludf.DUMMYFUNCTION("GOOGLETRANSLATE(O1208,""en"",""bn"")"),"মনোরঞ্জন পলি")</f>
        <v>মনোরঞ্জন পলি</v>
      </c>
      <c r="Q1208" s="2" t="s">
        <v>1322</v>
      </c>
      <c r="S1208" s="2" t="s">
        <v>1322</v>
      </c>
      <c r="V1208" s="2" t="s">
        <v>2591</v>
      </c>
      <c r="W1208" s="2">
        <v>2</v>
      </c>
    </row>
    <row r="1209" spans="1:23" ht="15.75" customHeight="1" x14ac:dyDescent="0.35">
      <c r="A1209" s="2" t="s">
        <v>23</v>
      </c>
      <c r="L1209" s="2">
        <v>111</v>
      </c>
      <c r="M1209" s="2" t="s">
        <v>369</v>
      </c>
      <c r="O1209" s="2" t="s">
        <v>2251</v>
      </c>
      <c r="P1209" s="2" t="str">
        <f ca="1">IFERROR(__xludf.DUMMYFUNCTION("GOOGLETRANSLATE(O1209,""en"",""bn"")"),"শেখ ইমানুর রহমান")</f>
        <v>শেখ ইমানুর রহমান</v>
      </c>
      <c r="Q1209" s="2" t="s">
        <v>1322</v>
      </c>
      <c r="S1209" s="2" t="s">
        <v>1322</v>
      </c>
      <c r="V1209" s="2" t="s">
        <v>2592</v>
      </c>
      <c r="W1209" s="2">
        <v>2</v>
      </c>
    </row>
    <row r="1210" spans="1:23" ht="15.75" customHeight="1" x14ac:dyDescent="0.35">
      <c r="A1210" s="2" t="s">
        <v>23</v>
      </c>
      <c r="L1210" s="2">
        <v>82</v>
      </c>
      <c r="M1210" s="2" t="s">
        <v>375</v>
      </c>
      <c r="O1210" s="2" t="s">
        <v>2593</v>
      </c>
      <c r="P1210" s="2" t="str">
        <f ca="1">IFERROR(__xludf.DUMMYFUNCTION("GOOGLETRANSLATE(O1210,""en"",""bn"")"),"শুভঙ্কর রুদ্র")</f>
        <v>শুভঙ্কর রুদ্র</v>
      </c>
      <c r="Q1210" s="2" t="s">
        <v>1322</v>
      </c>
      <c r="S1210" s="2" t="s">
        <v>1322</v>
      </c>
      <c r="V1210" s="2" t="s">
        <v>2594</v>
      </c>
      <c r="W1210" s="2">
        <v>2</v>
      </c>
    </row>
    <row r="1211" spans="1:23" ht="15.75" customHeight="1" x14ac:dyDescent="0.35">
      <c r="A1211" s="2" t="s">
        <v>23</v>
      </c>
      <c r="L1211" s="2">
        <v>106</v>
      </c>
      <c r="M1211" s="2" t="s">
        <v>283</v>
      </c>
      <c r="O1211" s="2" t="s">
        <v>2595</v>
      </c>
      <c r="P1211" s="2" t="str">
        <f ca="1">IFERROR(__xludf.DUMMYFUNCTION("GOOGLETRANSLATE(O1211,""en"",""bn"")"),"বুলা আধিকারিক")</f>
        <v>বুলা আধিকারিক</v>
      </c>
      <c r="Q1211" s="2" t="s">
        <v>1322</v>
      </c>
      <c r="S1211" s="2" t="s">
        <v>1322</v>
      </c>
      <c r="V1211" s="2" t="s">
        <v>2596</v>
      </c>
      <c r="W1211" s="2">
        <v>2</v>
      </c>
    </row>
    <row r="1212" spans="1:23" ht="15.75" customHeight="1" x14ac:dyDescent="0.35">
      <c r="A1212" s="2" t="s">
        <v>23</v>
      </c>
      <c r="L1212" s="2">
        <v>103</v>
      </c>
      <c r="M1212" s="2" t="s">
        <v>199</v>
      </c>
      <c r="O1212" s="2" t="s">
        <v>2597</v>
      </c>
      <c r="P1212" s="2" t="str">
        <f ca="1">IFERROR(__xludf.DUMMYFUNCTION("GOOGLETRANSLATE(O1212,""en"",""bn"")"),"প্রেম বান্সফোর")</f>
        <v>প্রেম বান্সফোর</v>
      </c>
      <c r="Q1212" s="2" t="s">
        <v>1322</v>
      </c>
      <c r="S1212" s="2" t="s">
        <v>1322</v>
      </c>
      <c r="V1212" s="2" t="s">
        <v>2598</v>
      </c>
      <c r="W1212" s="2">
        <v>2</v>
      </c>
    </row>
    <row r="1213" spans="1:23" ht="15.75" customHeight="1" x14ac:dyDescent="0.35">
      <c r="A1213" s="2" t="s">
        <v>23</v>
      </c>
      <c r="L1213" s="2">
        <v>192</v>
      </c>
      <c r="M1213" s="2" t="s">
        <v>172</v>
      </c>
      <c r="O1213" s="2" t="s">
        <v>2599</v>
      </c>
      <c r="P1213" s="2" t="str">
        <f ca="1">IFERROR(__xludf.DUMMYFUNCTION("GOOGLETRANSLATE(O1213,""en"",""bn"")"),"বিজয় কৃষ্ণ সর্দার")</f>
        <v>বিজয় কৃষ্ণ সর্দার</v>
      </c>
      <c r="Q1213" s="2" t="s">
        <v>1322</v>
      </c>
      <c r="S1213" s="2" t="s">
        <v>1322</v>
      </c>
      <c r="V1213" s="2" t="s">
        <v>2600</v>
      </c>
      <c r="W1213" s="2">
        <v>2</v>
      </c>
    </row>
    <row r="1214" spans="1:23" ht="15.75" customHeight="1" x14ac:dyDescent="0.35">
      <c r="A1214" s="2" t="s">
        <v>23</v>
      </c>
      <c r="L1214" s="2">
        <v>124</v>
      </c>
      <c r="M1214" s="2" t="s">
        <v>190</v>
      </c>
      <c r="O1214" s="2" t="s">
        <v>1021</v>
      </c>
      <c r="P1214" s="2" t="str">
        <f ca="1">IFERROR(__xludf.DUMMYFUNCTION("GOOGLETRANSLATE(O1214,""en"",""bn"")"),"সুভাসিস দাস")</f>
        <v>সুভাসিস দাস</v>
      </c>
      <c r="Q1214" s="2" t="s">
        <v>1322</v>
      </c>
      <c r="S1214" s="2" t="s">
        <v>1322</v>
      </c>
      <c r="V1214" s="2" t="s">
        <v>2601</v>
      </c>
      <c r="W1214" s="2">
        <v>2</v>
      </c>
    </row>
    <row r="1215" spans="1:23" ht="15.75" customHeight="1" x14ac:dyDescent="0.35">
      <c r="A1215" s="2" t="s">
        <v>23</v>
      </c>
      <c r="L1215" s="2">
        <v>270</v>
      </c>
      <c r="M1215" s="2" t="s">
        <v>315</v>
      </c>
      <c r="O1215" s="2" t="s">
        <v>607</v>
      </c>
      <c r="P1215" s="2" t="str">
        <f ca="1">IFERROR(__xludf.DUMMYFUNCTION("GOOGLETRANSLATE(O1215,""en"",""bn"")"),"কৃষ্ণ ঘোষ")</f>
        <v>কৃষ্ণ ঘোষ</v>
      </c>
      <c r="Q1215" s="2" t="s">
        <v>1322</v>
      </c>
      <c r="S1215" s="2" t="s">
        <v>1322</v>
      </c>
      <c r="V1215" s="2" t="s">
        <v>2602</v>
      </c>
      <c r="W1215" s="2">
        <v>2</v>
      </c>
    </row>
    <row r="1216" spans="1:23" ht="15.75" customHeight="1" x14ac:dyDescent="0.35">
      <c r="A1216" s="2" t="s">
        <v>23</v>
      </c>
      <c r="L1216" s="2">
        <v>153</v>
      </c>
      <c r="M1216" s="2" t="s">
        <v>345</v>
      </c>
      <c r="O1216" s="2" t="s">
        <v>2603</v>
      </c>
      <c r="P1216" s="2" t="str">
        <f ca="1">IFERROR(__xludf.DUMMYFUNCTION("GOOGLETRANSLATE(O1216,""en"",""bn"")"),"ভোলানাথ পাত্র")</f>
        <v>ভোলানাথ পাত্র</v>
      </c>
      <c r="Q1216" s="2" t="s">
        <v>1322</v>
      </c>
      <c r="S1216" s="2" t="s">
        <v>1322</v>
      </c>
      <c r="V1216" s="2" t="s">
        <v>2604</v>
      </c>
      <c r="W1216" s="2">
        <v>2</v>
      </c>
    </row>
    <row r="1217" spans="1:23" ht="15.75" customHeight="1" x14ac:dyDescent="0.35">
      <c r="A1217" s="2" t="s">
        <v>23</v>
      </c>
      <c r="L1217" s="2">
        <v>117</v>
      </c>
      <c r="M1217" s="2" t="s">
        <v>277</v>
      </c>
      <c r="O1217" s="2" t="s">
        <v>2123</v>
      </c>
      <c r="P1217" s="2" t="str">
        <f ca="1">IFERROR(__xludf.DUMMYFUNCTION("GOOGLETRANSLATE(O1217,""en"",""bn"")"),"অরিন্দম ঘোষ")</f>
        <v>অরিন্দম ঘোষ</v>
      </c>
      <c r="Q1217" s="2" t="s">
        <v>1322</v>
      </c>
      <c r="S1217" s="2" t="s">
        <v>1322</v>
      </c>
      <c r="V1217" s="2" t="s">
        <v>2605</v>
      </c>
      <c r="W1217" s="2">
        <v>2</v>
      </c>
    </row>
    <row r="1218" spans="1:23" ht="15.75" customHeight="1" x14ac:dyDescent="0.35">
      <c r="A1218" s="2" t="s">
        <v>23</v>
      </c>
      <c r="L1218" s="2">
        <v>178</v>
      </c>
      <c r="M1218" s="2" t="s">
        <v>226</v>
      </c>
      <c r="O1218" s="2" t="s">
        <v>2606</v>
      </c>
      <c r="P1218" s="2" t="str">
        <f ca="1">IFERROR(__xludf.DUMMYFUNCTION("GOOGLETRANSLATE(O1218,""en"",""bn"")"),"উত্তম কুমার মন্ডল")</f>
        <v>উত্তম কুমার মন্ডল</v>
      </c>
      <c r="Q1218" s="2" t="s">
        <v>1322</v>
      </c>
      <c r="S1218" s="2" t="s">
        <v>1322</v>
      </c>
      <c r="V1218" s="2" t="s">
        <v>2607</v>
      </c>
      <c r="W1218" s="2">
        <v>2</v>
      </c>
    </row>
    <row r="1219" spans="1:23" ht="15.75" customHeight="1" x14ac:dyDescent="0.35">
      <c r="A1219" s="2" t="s">
        <v>23</v>
      </c>
      <c r="L1219" s="2">
        <v>177</v>
      </c>
      <c r="M1219" s="2" t="s">
        <v>66</v>
      </c>
      <c r="O1219" s="2" t="s">
        <v>2608</v>
      </c>
      <c r="P1219" s="2" t="str">
        <f ca="1">IFERROR(__xludf.DUMMYFUNCTION("GOOGLETRANSLATE(O1219,""en"",""bn"")"),"মিহির নেবু")</f>
        <v>মিহির নেবু</v>
      </c>
      <c r="Q1219" s="2" t="s">
        <v>1322</v>
      </c>
      <c r="S1219" s="2" t="s">
        <v>1322</v>
      </c>
      <c r="V1219" s="2" t="s">
        <v>2609</v>
      </c>
      <c r="W1219" s="2">
        <v>2</v>
      </c>
    </row>
    <row r="1220" spans="1:23" ht="15.75" customHeight="1" x14ac:dyDescent="0.35">
      <c r="A1220" s="2" t="s">
        <v>23</v>
      </c>
      <c r="L1220" s="2">
        <v>189</v>
      </c>
      <c r="M1220" s="2" t="s">
        <v>223</v>
      </c>
      <c r="O1220" s="2" t="s">
        <v>2610</v>
      </c>
      <c r="P1220" s="2" t="str">
        <f ca="1">IFERROR(__xludf.DUMMYFUNCTION("GOOGLETRANSLATE(O1220,""en"",""bn"")"),"প্রলয় মুখার্জি")</f>
        <v>প্রলয় মুখার্জি</v>
      </c>
      <c r="Q1220" s="2" t="s">
        <v>1322</v>
      </c>
      <c r="S1220" s="2" t="s">
        <v>1322</v>
      </c>
      <c r="V1220" s="2" t="s">
        <v>2611</v>
      </c>
      <c r="W1220" s="2">
        <v>2</v>
      </c>
    </row>
    <row r="1221" spans="1:23" ht="15.75" customHeight="1" x14ac:dyDescent="0.35">
      <c r="A1221" s="2" t="s">
        <v>23</v>
      </c>
      <c r="L1221" s="2">
        <v>112</v>
      </c>
      <c r="M1221" s="2" t="s">
        <v>196</v>
      </c>
      <c r="O1221" s="2" t="s">
        <v>2612</v>
      </c>
      <c r="P1221" s="2" t="str">
        <f ca="1">IFERROR(__xludf.DUMMYFUNCTION("GOOGLETRANSLATE(O1221,""en"",""bn"")"),"সত্যব্রত বন্দ্যোপাধ্যায়")</f>
        <v>সত্যব্রত বন্দ্যোপাধ্যায়</v>
      </c>
      <c r="Q1221" s="2" t="s">
        <v>1322</v>
      </c>
      <c r="S1221" s="2" t="s">
        <v>1322</v>
      </c>
      <c r="V1221" s="2" t="s">
        <v>2613</v>
      </c>
      <c r="W1221" s="2">
        <v>2</v>
      </c>
    </row>
    <row r="1222" spans="1:23" ht="15.75" customHeight="1" x14ac:dyDescent="0.35">
      <c r="A1222" s="2" t="s">
        <v>23</v>
      </c>
      <c r="L1222" s="2">
        <v>187</v>
      </c>
      <c r="M1222" s="2" t="s">
        <v>405</v>
      </c>
      <c r="O1222" s="2" t="s">
        <v>949</v>
      </c>
      <c r="P1222" s="2" t="str">
        <f ca="1">IFERROR(__xludf.DUMMYFUNCTION("GOOGLETRANSLATE(O1222,""en"",""bn"")"),"দিলীপ সিং")</f>
        <v>দিলীপ সিং</v>
      </c>
      <c r="Q1222" s="2" t="s">
        <v>1322</v>
      </c>
      <c r="S1222" s="2" t="s">
        <v>1322</v>
      </c>
      <c r="V1222" s="2" t="s">
        <v>2614</v>
      </c>
      <c r="W1222" s="2">
        <v>2</v>
      </c>
    </row>
    <row r="1223" spans="1:23" ht="15.75" customHeight="1" x14ac:dyDescent="0.35">
      <c r="A1223" s="2" t="s">
        <v>23</v>
      </c>
      <c r="L1223" s="2">
        <v>100</v>
      </c>
      <c r="M1223" s="2" t="s">
        <v>69</v>
      </c>
      <c r="O1223" s="2" t="s">
        <v>2615</v>
      </c>
      <c r="P1223" s="2" t="str">
        <f ca="1">IFERROR(__xludf.DUMMYFUNCTION("GOOGLETRANSLATE(O1223,""en"",""bn"")"),"এপিইউ মল্লিক")</f>
        <v>এপিইউ মল্লিক</v>
      </c>
      <c r="Q1223" s="2" t="s">
        <v>1322</v>
      </c>
      <c r="S1223" s="2" t="s">
        <v>1322</v>
      </c>
      <c r="V1223" s="2" t="s">
        <v>2616</v>
      </c>
      <c r="W1223" s="2">
        <v>2</v>
      </c>
    </row>
    <row r="1224" spans="1:23" ht="15.75" customHeight="1" x14ac:dyDescent="0.35">
      <c r="A1224" s="2" t="s">
        <v>23</v>
      </c>
      <c r="L1224" s="2">
        <v>162</v>
      </c>
      <c r="M1224" s="2" t="s">
        <v>411</v>
      </c>
      <c r="O1224" s="2" t="s">
        <v>2617</v>
      </c>
      <c r="P1224" s="2" t="str">
        <f ca="1">IFERROR(__xludf.DUMMYFUNCTION("GOOGLETRANSLATE(O1224,""en"",""bn"")"),"সায়ন্তন পাত্র")</f>
        <v>সায়ন্তন পাত্র</v>
      </c>
      <c r="Q1224" s="2" t="s">
        <v>1322</v>
      </c>
      <c r="S1224" s="2" t="s">
        <v>1322</v>
      </c>
      <c r="V1224" s="2" t="s">
        <v>2618</v>
      </c>
      <c r="W1224" s="2">
        <v>2</v>
      </c>
    </row>
    <row r="1225" spans="1:23" ht="15.75" customHeight="1" x14ac:dyDescent="0.35">
      <c r="A1225" s="2" t="s">
        <v>23</v>
      </c>
      <c r="L1225" s="2">
        <v>100</v>
      </c>
      <c r="M1225" s="2" t="s">
        <v>69</v>
      </c>
      <c r="O1225" s="2" t="s">
        <v>1085</v>
      </c>
      <c r="P1225" s="2" t="str">
        <f ca="1">IFERROR(__xludf.DUMMYFUNCTION("GOOGLETRANSLATE(O1225,""en"",""bn"")"),"দেবদাস মন্ডল")</f>
        <v>দেবদাস মন্ডল</v>
      </c>
      <c r="Q1225" s="2" t="s">
        <v>1322</v>
      </c>
      <c r="S1225" s="2" t="s">
        <v>1322</v>
      </c>
      <c r="V1225" s="2" t="s">
        <v>2619</v>
      </c>
      <c r="W1225" s="2">
        <v>2</v>
      </c>
    </row>
    <row r="1226" spans="1:23" ht="15.75" customHeight="1" x14ac:dyDescent="0.35">
      <c r="A1226" s="2" t="s">
        <v>23</v>
      </c>
      <c r="L1226" s="2">
        <v>117</v>
      </c>
      <c r="M1226" s="2" t="s">
        <v>277</v>
      </c>
      <c r="O1226" s="2" t="s">
        <v>2620</v>
      </c>
      <c r="P1226" s="2" t="str">
        <f ca="1">IFERROR(__xludf.DUMMYFUNCTION("GOOGLETRANSLATE(O1226,""en"",""bn"")"),"তরুণ কুমার তিওয়ারি")</f>
        <v>তরুণ কুমার তিওয়ারি</v>
      </c>
      <c r="Q1226" s="2" t="s">
        <v>1322</v>
      </c>
      <c r="S1226" s="2" t="s">
        <v>1322</v>
      </c>
      <c r="V1226" s="2" t="s">
        <v>2621</v>
      </c>
      <c r="W1226" s="2">
        <v>2</v>
      </c>
    </row>
    <row r="1227" spans="1:23" ht="15.75" customHeight="1" x14ac:dyDescent="0.35">
      <c r="A1227" s="2" t="s">
        <v>23</v>
      </c>
      <c r="L1227" s="2">
        <v>179</v>
      </c>
      <c r="M1227" s="2" t="s">
        <v>435</v>
      </c>
      <c r="O1227" s="2" t="s">
        <v>2622</v>
      </c>
      <c r="P1227" s="2" t="str">
        <f ca="1">IFERROR(__xludf.DUMMYFUNCTION("GOOGLETRANSLATE(O1227,""en"",""bn"")"),"মনোহর ডেনরা")</f>
        <v>মনোহর ডেনরা</v>
      </c>
      <c r="Q1227" s="2" t="s">
        <v>1322</v>
      </c>
      <c r="S1227" s="2" t="s">
        <v>1322</v>
      </c>
      <c r="V1227" s="2" t="s">
        <v>2623</v>
      </c>
      <c r="W1227" s="2">
        <v>2</v>
      </c>
    </row>
    <row r="1228" spans="1:23" ht="15.75" customHeight="1" x14ac:dyDescent="0.35">
      <c r="A1228" s="2" t="s">
        <v>23</v>
      </c>
      <c r="L1228" s="2">
        <v>109</v>
      </c>
      <c r="M1228" s="2" t="s">
        <v>336</v>
      </c>
      <c r="O1228" s="2" t="s">
        <v>2624</v>
      </c>
      <c r="P1228" s="2" t="str">
        <f ca="1">IFERROR(__xludf.DUMMYFUNCTION("GOOGLETRANSLATE(O1228,""en"",""bn"")"),"কল্যাণব্রতা মজুমদার")</f>
        <v>কল্যাণব্রতা মজুমদার</v>
      </c>
      <c r="Q1228" s="2" t="s">
        <v>1322</v>
      </c>
      <c r="S1228" s="2" t="s">
        <v>1322</v>
      </c>
      <c r="V1228" s="2" t="s">
        <v>2625</v>
      </c>
      <c r="W1228" s="2">
        <v>2</v>
      </c>
    </row>
    <row r="1229" spans="1:23" ht="15.75" customHeight="1" x14ac:dyDescent="0.35">
      <c r="A1229" s="2" t="s">
        <v>23</v>
      </c>
      <c r="L1229" s="2">
        <v>155</v>
      </c>
      <c r="M1229" s="2" t="s">
        <v>262</v>
      </c>
      <c r="O1229" s="2" t="s">
        <v>2626</v>
      </c>
      <c r="P1229" s="2" t="str">
        <f ca="1">IFERROR(__xludf.DUMMYFUNCTION("GOOGLETRANSLATE(O1229,""en"",""bn"")"),"সুবীর চক্রবর্তী")</f>
        <v>সুবীর চক্রবর্তী</v>
      </c>
      <c r="Q1229" s="2" t="s">
        <v>1322</v>
      </c>
      <c r="S1229" s="2" t="s">
        <v>1322</v>
      </c>
      <c r="V1229" s="2" t="s">
        <v>2627</v>
      </c>
      <c r="W1229" s="2">
        <v>2</v>
      </c>
    </row>
    <row r="1230" spans="1:23" ht="15.75" customHeight="1" x14ac:dyDescent="0.35">
      <c r="A1230" s="2" t="s">
        <v>23</v>
      </c>
      <c r="L1230" s="2">
        <v>157</v>
      </c>
      <c r="M1230" s="2" t="s">
        <v>36</v>
      </c>
      <c r="O1230" s="2" t="s">
        <v>2628</v>
      </c>
      <c r="P1230" s="2" t="str">
        <f ca="1">IFERROR(__xludf.DUMMYFUNCTION("GOOGLETRANSLATE(O1230,""en"",""bn"")"),"মাহাব্বাত খান")</f>
        <v>মাহাব্বাত খান</v>
      </c>
      <c r="Q1230" s="2" t="s">
        <v>1322</v>
      </c>
      <c r="S1230" s="2" t="s">
        <v>1322</v>
      </c>
      <c r="V1230" s="2" t="s">
        <v>2629</v>
      </c>
      <c r="W1230" s="2">
        <v>2</v>
      </c>
    </row>
    <row r="1231" spans="1:23" ht="15.75" customHeight="1" x14ac:dyDescent="0.35">
      <c r="A1231" s="2" t="s">
        <v>23</v>
      </c>
      <c r="L1231" s="2">
        <v>180</v>
      </c>
      <c r="M1231" s="2" t="s">
        <v>324</v>
      </c>
      <c r="O1231" s="2" t="s">
        <v>2630</v>
      </c>
      <c r="P1231" s="2" t="str">
        <f ca="1">IFERROR(__xludf.DUMMYFUNCTION("GOOGLETRANSLATE(O1231,""en"",""bn"")"),"এসকে জাকিরে হোসেন")</f>
        <v>এসকে জাকিরে হোসেন</v>
      </c>
      <c r="Q1231" s="2" t="s">
        <v>1322</v>
      </c>
      <c r="S1231" s="2" t="s">
        <v>1322</v>
      </c>
      <c r="V1231" s="2" t="s">
        <v>2631</v>
      </c>
      <c r="W1231" s="2">
        <v>2</v>
      </c>
    </row>
    <row r="1232" spans="1:23" ht="15.75" customHeight="1" x14ac:dyDescent="0.35">
      <c r="A1232" s="2" t="s">
        <v>23</v>
      </c>
      <c r="L1232" s="2">
        <v>162</v>
      </c>
      <c r="M1232" s="2" t="s">
        <v>411</v>
      </c>
      <c r="O1232" s="2" t="s">
        <v>2632</v>
      </c>
      <c r="P1232" s="2" t="str">
        <f ca="1">IFERROR(__xludf.DUMMYFUNCTION("GOOGLETRANSLATE(O1232,""en"",""bn"")"),"সুমন্ত ভৌমিক")</f>
        <v>সুমন্ত ভৌমিক</v>
      </c>
      <c r="Q1232" s="2" t="s">
        <v>1322</v>
      </c>
      <c r="S1232" s="2" t="s">
        <v>1322</v>
      </c>
      <c r="V1232" s="2" t="s">
        <v>2633</v>
      </c>
      <c r="W1232" s="2">
        <v>2</v>
      </c>
    </row>
    <row r="1233" spans="1:23" ht="15.75" customHeight="1" x14ac:dyDescent="0.35">
      <c r="A1233" s="2" t="s">
        <v>23</v>
      </c>
      <c r="L1233" s="2">
        <v>154</v>
      </c>
      <c r="M1233" s="2" t="s">
        <v>136</v>
      </c>
      <c r="O1233" s="2" t="s">
        <v>2634</v>
      </c>
      <c r="P1233" s="2" t="str">
        <f ca="1">IFERROR(__xludf.DUMMYFUNCTION("GOOGLETRANSLATE(O1233,""en"",""bn"")"),"মৃদুল ওঝা")</f>
        <v>মৃদুল ওঝা</v>
      </c>
      <c r="Q1233" s="2" t="s">
        <v>1322</v>
      </c>
      <c r="S1233" s="2" t="s">
        <v>1322</v>
      </c>
      <c r="V1233" s="2" t="s">
        <v>2635</v>
      </c>
      <c r="W1233" s="2">
        <v>2</v>
      </c>
    </row>
    <row r="1234" spans="1:23" ht="15.75" customHeight="1" x14ac:dyDescent="0.35">
      <c r="A1234" s="2" t="s">
        <v>23</v>
      </c>
      <c r="L1234" s="2">
        <v>102</v>
      </c>
      <c r="M1234" s="2" t="s">
        <v>169</v>
      </c>
      <c r="O1234" s="2" t="s">
        <v>2636</v>
      </c>
      <c r="P1234" s="2" t="str">
        <f ca="1">IFERROR(__xludf.DUMMYFUNCTION("GOOGLETRANSLATE(O1234,""en"",""bn"")"),"আলিম হোসেন মন্ডল")</f>
        <v>আলিম হোসেন মন্ডল</v>
      </c>
      <c r="Q1234" s="2" t="s">
        <v>1322</v>
      </c>
      <c r="S1234" s="2" t="s">
        <v>1322</v>
      </c>
      <c r="V1234" s="2" t="s">
        <v>2637</v>
      </c>
      <c r="W1234" s="2">
        <v>2</v>
      </c>
    </row>
    <row r="1235" spans="1:23" ht="15.75" customHeight="1" x14ac:dyDescent="0.35">
      <c r="A1235" s="2" t="s">
        <v>23</v>
      </c>
      <c r="L1235" s="2">
        <v>131</v>
      </c>
      <c r="M1235" s="2" t="s">
        <v>130</v>
      </c>
      <c r="O1235" s="2" t="s">
        <v>2638</v>
      </c>
      <c r="P1235" s="2" t="str">
        <f ca="1">IFERROR(__xludf.DUMMYFUNCTION("GOOGLETRANSLATE(O1235,""en"",""bn"")"),"ফায়জুদ্দিন লাস্কার")</f>
        <v>ফায়জুদ্দিন লাস্কার</v>
      </c>
      <c r="Q1235" s="2" t="s">
        <v>1322</v>
      </c>
      <c r="S1235" s="2" t="s">
        <v>1322</v>
      </c>
      <c r="V1235" s="2" t="s">
        <v>2639</v>
      </c>
      <c r="W1235" s="2">
        <v>2</v>
      </c>
    </row>
    <row r="1236" spans="1:23" ht="15.75" customHeight="1" x14ac:dyDescent="0.35">
      <c r="A1236" s="2" t="s">
        <v>23</v>
      </c>
      <c r="L1236" s="2">
        <v>151</v>
      </c>
      <c r="M1236" s="2" t="s">
        <v>81</v>
      </c>
      <c r="O1236" s="2" t="s">
        <v>532</v>
      </c>
      <c r="P1236" s="2" t="str">
        <f ca="1">IFERROR(__xludf.DUMMYFUNCTION("GOOGLETRANSLATE(O1236,""en"",""bn"")"),"নারায়ণ দাস")</f>
        <v>নারায়ণ দাস</v>
      </c>
      <c r="Q1236" s="2" t="s">
        <v>1322</v>
      </c>
      <c r="S1236" s="2" t="s">
        <v>1322</v>
      </c>
      <c r="V1236" s="2" t="s">
        <v>2640</v>
      </c>
      <c r="W1236" s="2">
        <v>2</v>
      </c>
    </row>
    <row r="1237" spans="1:23" ht="15.75" customHeight="1" x14ac:dyDescent="0.35">
      <c r="A1237" s="2" t="s">
        <v>23</v>
      </c>
      <c r="L1237" s="2">
        <v>115</v>
      </c>
      <c r="M1237" s="2" t="s">
        <v>84</v>
      </c>
      <c r="O1237" s="2" t="s">
        <v>2641</v>
      </c>
      <c r="P1237" s="2" t="str">
        <f ca="1">IFERROR(__xludf.DUMMYFUNCTION("GOOGLETRANSLATE(O1237,""en"",""bn"")"),"আশিত ধালি")</f>
        <v>আশিত ধালি</v>
      </c>
      <c r="Q1237" s="2" t="s">
        <v>1322</v>
      </c>
      <c r="S1237" s="2" t="s">
        <v>1322</v>
      </c>
      <c r="V1237" s="2" t="s">
        <v>2642</v>
      </c>
      <c r="W1237" s="2">
        <v>2</v>
      </c>
    </row>
    <row r="1238" spans="1:23" ht="15.75" customHeight="1" x14ac:dyDescent="0.35">
      <c r="A1238" s="2" t="s">
        <v>23</v>
      </c>
      <c r="L1238" s="2">
        <v>121</v>
      </c>
      <c r="M1238" s="2" t="s">
        <v>348</v>
      </c>
      <c r="O1238" s="2" t="s">
        <v>2643</v>
      </c>
      <c r="P1238" s="2" t="str">
        <f ca="1">IFERROR(__xludf.DUMMYFUNCTION("GOOGLETRANSLATE(O1238,""en"",""bn"")"),"লাল মোহাম্মদ")</f>
        <v>লাল মোহাম্মদ</v>
      </c>
      <c r="Q1238" s="2" t="s">
        <v>1322</v>
      </c>
      <c r="S1238" s="2" t="s">
        <v>1322</v>
      </c>
      <c r="V1238" s="2" t="s">
        <v>2644</v>
      </c>
      <c r="W1238" s="2">
        <v>2</v>
      </c>
    </row>
    <row r="1239" spans="1:23" ht="15.75" customHeight="1" x14ac:dyDescent="0.35">
      <c r="A1239" s="2" t="s">
        <v>23</v>
      </c>
      <c r="L1239" s="2">
        <v>113</v>
      </c>
      <c r="M1239" s="2" t="s">
        <v>399</v>
      </c>
      <c r="O1239" s="2" t="s">
        <v>541</v>
      </c>
      <c r="P1239" s="2" t="str">
        <f ca="1">IFERROR(__xludf.DUMMYFUNCTION("GOOGLETRANSLATE(O1239,""en"",""bn"")"),"সজল ঘোষ")</f>
        <v>সজল ঘোষ</v>
      </c>
      <c r="Q1239" s="2" t="s">
        <v>1322</v>
      </c>
      <c r="S1239" s="2" t="s">
        <v>1322</v>
      </c>
      <c r="V1239" s="2" t="s">
        <v>2645</v>
      </c>
      <c r="W1239" s="2">
        <v>2</v>
      </c>
    </row>
    <row r="1240" spans="1:23" ht="15.75" customHeight="1" x14ac:dyDescent="0.35">
      <c r="A1240" s="2" t="s">
        <v>23</v>
      </c>
      <c r="L1240" s="2">
        <v>112</v>
      </c>
      <c r="M1240" s="2" t="s">
        <v>196</v>
      </c>
      <c r="O1240" s="2" t="s">
        <v>2646</v>
      </c>
      <c r="P1240" s="2" t="str">
        <f ca="1">IFERROR(__xludf.DUMMYFUNCTION("GOOGLETRANSLATE(O1240,""en"",""bn"")"),"সন্দীপ দত্ত ভৌমিক")</f>
        <v>সন্দীপ দত্ত ভৌমিক</v>
      </c>
      <c r="Q1240" s="2" t="s">
        <v>1322</v>
      </c>
      <c r="S1240" s="2" t="s">
        <v>1322</v>
      </c>
      <c r="V1240" s="2" t="s">
        <v>2647</v>
      </c>
      <c r="W1240" s="2">
        <v>2</v>
      </c>
    </row>
    <row r="1241" spans="1:23" ht="15.75" customHeight="1" x14ac:dyDescent="0.35">
      <c r="A1241" s="2" t="s">
        <v>23</v>
      </c>
      <c r="L1241" s="2">
        <v>167</v>
      </c>
      <c r="M1241" s="2" t="s">
        <v>109</v>
      </c>
      <c r="O1241" s="2" t="s">
        <v>2648</v>
      </c>
      <c r="P1241" s="2" t="str">
        <f ca="1">IFERROR(__xludf.DUMMYFUNCTION("GOOGLETRANSLATE(O1241,""en"",""bn"")"),"রিকি পল")</f>
        <v>রিকি পল</v>
      </c>
      <c r="Q1241" s="2" t="s">
        <v>1322</v>
      </c>
      <c r="S1241" s="2" t="s">
        <v>1322</v>
      </c>
      <c r="V1241" s="2" t="s">
        <v>2649</v>
      </c>
      <c r="W1241" s="2">
        <v>2</v>
      </c>
    </row>
    <row r="1242" spans="1:23" ht="15.75" customHeight="1" x14ac:dyDescent="0.35">
      <c r="A1242" s="2" t="s">
        <v>23</v>
      </c>
      <c r="L1242" s="2">
        <v>171</v>
      </c>
      <c r="M1242" s="2" t="s">
        <v>87</v>
      </c>
      <c r="O1242" s="2" t="s">
        <v>2650</v>
      </c>
      <c r="P1242" s="2" t="str">
        <f ca="1">IFERROR(__xludf.DUMMYFUNCTION("GOOGLETRANSLATE(O1242,""en"",""bn"")"),"অরিজিৎ নন্দী")</f>
        <v>অরিজিৎ নন্দী</v>
      </c>
      <c r="Q1242" s="2" t="s">
        <v>1322</v>
      </c>
      <c r="S1242" s="2" t="s">
        <v>1322</v>
      </c>
      <c r="V1242" s="2" t="s">
        <v>2651</v>
      </c>
      <c r="W1242" s="2">
        <v>2</v>
      </c>
    </row>
    <row r="1243" spans="1:23" ht="15.75" customHeight="1" x14ac:dyDescent="0.35">
      <c r="A1243" s="2" t="s">
        <v>23</v>
      </c>
      <c r="L1243" s="2">
        <v>125</v>
      </c>
      <c r="M1243" s="2" t="s">
        <v>160</v>
      </c>
      <c r="O1243" s="2" t="s">
        <v>2652</v>
      </c>
      <c r="P1243" s="2" t="str">
        <f ca="1">IFERROR(__xludf.DUMMYFUNCTION("GOOGLETRANSLATE(O1243,""en"",""bn"")"),"সাহানুর মন্ডল")</f>
        <v>সাহানুর মন্ডল</v>
      </c>
      <c r="Q1243" s="2" t="s">
        <v>1322</v>
      </c>
      <c r="S1243" s="2" t="s">
        <v>1322</v>
      </c>
      <c r="V1243" s="2" t="s">
        <v>2653</v>
      </c>
      <c r="W1243" s="2">
        <v>2</v>
      </c>
    </row>
    <row r="1244" spans="1:23" ht="15.75" customHeight="1" x14ac:dyDescent="0.35">
      <c r="A1244" s="2" t="s">
        <v>23</v>
      </c>
      <c r="L1244" s="2">
        <v>147</v>
      </c>
      <c r="M1244" s="2" t="s">
        <v>265</v>
      </c>
      <c r="O1244" s="2" t="s">
        <v>2654</v>
      </c>
      <c r="P1244" s="2" t="str">
        <f ca="1">IFERROR(__xludf.DUMMYFUNCTION("GOOGLETRANSLATE(O1244,""en"",""bn"")"),"প্রদীপ কুমার মন্ডল")</f>
        <v>প্রদীপ কুমার মন্ডল</v>
      </c>
      <c r="Q1244" s="2" t="s">
        <v>1322</v>
      </c>
      <c r="S1244" s="2" t="s">
        <v>1322</v>
      </c>
      <c r="V1244" s="2" t="s">
        <v>2655</v>
      </c>
      <c r="W1244" s="2">
        <v>2</v>
      </c>
    </row>
    <row r="1245" spans="1:23" ht="15.75" customHeight="1" x14ac:dyDescent="0.35">
      <c r="A1245" s="2" t="s">
        <v>23</v>
      </c>
      <c r="L1245" s="2">
        <v>186</v>
      </c>
      <c r="M1245" s="2" t="s">
        <v>250</v>
      </c>
      <c r="O1245" s="2" t="s">
        <v>2656</v>
      </c>
      <c r="P1245" s="2" t="str">
        <f ca="1">IFERROR(__xludf.DUMMYFUNCTION("GOOGLETRANSLATE(O1245,""en"",""bn"")"),"সরকার মঙ্গল")</f>
        <v>সরকার মঙ্গল</v>
      </c>
      <c r="Q1245" s="2" t="s">
        <v>1322</v>
      </c>
      <c r="S1245" s="2" t="s">
        <v>1322</v>
      </c>
      <c r="V1245" s="2" t="s">
        <v>2657</v>
      </c>
      <c r="W1245" s="2">
        <v>2</v>
      </c>
    </row>
    <row r="1246" spans="1:23" ht="15.75" customHeight="1" x14ac:dyDescent="0.35">
      <c r="A1246" s="2" t="s">
        <v>23</v>
      </c>
      <c r="L1246" s="2">
        <v>152</v>
      </c>
      <c r="M1246" s="2" t="s">
        <v>450</v>
      </c>
      <c r="O1246" s="2" t="s">
        <v>2658</v>
      </c>
      <c r="P1246" s="2" t="str">
        <f ca="1">IFERROR(__xludf.DUMMYFUNCTION("GOOGLETRANSLATE(O1246,""en"",""bn"")"),"মৌমিতা কীর্তন")</f>
        <v>মৌমিতা কীর্তন</v>
      </c>
      <c r="Q1246" s="2" t="s">
        <v>1322</v>
      </c>
      <c r="S1246" s="2" t="s">
        <v>1322</v>
      </c>
      <c r="V1246" s="2" t="s">
        <v>2659</v>
      </c>
      <c r="W1246" s="2">
        <v>2</v>
      </c>
    </row>
    <row r="1247" spans="1:23" ht="15.75" customHeight="1" x14ac:dyDescent="0.35">
      <c r="A1247" s="2" t="s">
        <v>23</v>
      </c>
      <c r="L1247" s="2">
        <v>116</v>
      </c>
      <c r="M1247" s="2" t="s">
        <v>39</v>
      </c>
      <c r="O1247" s="2" t="s">
        <v>2660</v>
      </c>
      <c r="P1247" s="2" t="str">
        <f ca="1">IFERROR(__xludf.DUMMYFUNCTION("GOOGLETRANSLATE(O1247,""en"",""bn"")"),"শ্বেতকেতু নন্দী")</f>
        <v>শ্বেতকেতু নন্দী</v>
      </c>
      <c r="Q1247" s="2" t="s">
        <v>1322</v>
      </c>
      <c r="S1247" s="2" t="s">
        <v>1322</v>
      </c>
      <c r="V1247" s="2" t="s">
        <v>2661</v>
      </c>
      <c r="W1247" s="2">
        <v>2</v>
      </c>
    </row>
    <row r="1248" spans="1:23" ht="15.75" customHeight="1" x14ac:dyDescent="0.35">
      <c r="A1248" s="2" t="s">
        <v>23</v>
      </c>
      <c r="L1248" s="2">
        <v>184</v>
      </c>
      <c r="M1248" s="2" t="s">
        <v>60</v>
      </c>
      <c r="O1248" s="2" t="s">
        <v>2662</v>
      </c>
      <c r="P1248" s="2" t="str">
        <f ca="1">IFERROR(__xludf.DUMMYFUNCTION("GOOGLETRANSLATE(O1248,""en"",""bn"")"),"তপন মাইতি")</f>
        <v>তপন মাইতি</v>
      </c>
      <c r="Q1248" s="2" t="s">
        <v>1322</v>
      </c>
      <c r="S1248" s="2" t="s">
        <v>1322</v>
      </c>
      <c r="V1248" s="2" t="s">
        <v>2663</v>
      </c>
      <c r="W1248" s="2">
        <v>2</v>
      </c>
    </row>
    <row r="1249" spans="1:23" ht="15.75" customHeight="1" x14ac:dyDescent="0.35">
      <c r="A1249" s="2" t="s">
        <v>23</v>
      </c>
      <c r="L1249" s="2">
        <v>89</v>
      </c>
      <c r="M1249" s="2" t="s">
        <v>426</v>
      </c>
      <c r="O1249" s="2" t="s">
        <v>2664</v>
      </c>
      <c r="P1249" s="2" t="str">
        <f ca="1">IFERROR(__xludf.DUMMYFUNCTION("GOOGLETRANSLATE(O1249,""en"",""bn"")"),"বর্ণালী বিশ্বাস")</f>
        <v>বর্ণালী বিশ্বাস</v>
      </c>
      <c r="Q1249" s="2" t="s">
        <v>1322</v>
      </c>
      <c r="S1249" s="2" t="s">
        <v>1322</v>
      </c>
      <c r="V1249" s="2" t="s">
        <v>2665</v>
      </c>
      <c r="W1249" s="2">
        <v>2</v>
      </c>
    </row>
    <row r="1250" spans="1:23" ht="15.75" customHeight="1" x14ac:dyDescent="0.35">
      <c r="A1250" s="2" t="s">
        <v>23</v>
      </c>
      <c r="L1250" s="2">
        <v>165</v>
      </c>
      <c r="M1250" s="2" t="s">
        <v>390</v>
      </c>
      <c r="O1250" s="2" t="s">
        <v>2666</v>
      </c>
      <c r="P1250" s="2" t="str">
        <f ca="1">IFERROR(__xludf.DUMMYFUNCTION("GOOGLETRANSLATE(O1250,""en"",""bn"")"),"পবন কুমার শর্মা")</f>
        <v>পবন কুমার শর্মা</v>
      </c>
      <c r="Q1250" s="2" t="s">
        <v>1322</v>
      </c>
      <c r="S1250" s="2" t="s">
        <v>1322</v>
      </c>
      <c r="V1250" s="2" t="s">
        <v>2667</v>
      </c>
      <c r="W1250" s="2">
        <v>2</v>
      </c>
    </row>
    <row r="1251" spans="1:23" ht="15.75" customHeight="1" x14ac:dyDescent="0.35">
      <c r="A1251" s="2" t="s">
        <v>23</v>
      </c>
      <c r="L1251" s="2">
        <v>271</v>
      </c>
      <c r="M1251" s="2" t="s">
        <v>444</v>
      </c>
      <c r="O1251" s="2" t="s">
        <v>2668</v>
      </c>
      <c r="P1251" s="2" t="str">
        <f ca="1">IFERROR(__xludf.DUMMYFUNCTION("GOOGLETRANSLATE(O1251,""en"",""bn"")"),"রাজউদ্দিন")</f>
        <v>রাজউদ্দিন</v>
      </c>
      <c r="Q1251" s="2" t="s">
        <v>1322</v>
      </c>
      <c r="S1251" s="2" t="s">
        <v>1322</v>
      </c>
      <c r="V1251" s="2" t="s">
        <v>2669</v>
      </c>
      <c r="W1251" s="2">
        <v>2</v>
      </c>
    </row>
    <row r="1252" spans="1:23" ht="15.75" customHeight="1" x14ac:dyDescent="0.35">
      <c r="A1252" s="2" t="s">
        <v>23</v>
      </c>
      <c r="L1252" s="2">
        <v>87</v>
      </c>
      <c r="M1252" s="2" t="s">
        <v>351</v>
      </c>
      <c r="O1252" s="2" t="s">
        <v>2670</v>
      </c>
      <c r="P1252" s="2" t="str">
        <f ca="1">IFERROR(__xludf.DUMMYFUNCTION("GOOGLETRANSLATE(O1252,""en"",""bn"")"),"শুভঙ্কর দাস")</f>
        <v>শুভঙ্কর দাস</v>
      </c>
      <c r="Q1252" s="2" t="s">
        <v>1322</v>
      </c>
      <c r="S1252" s="2" t="s">
        <v>1322</v>
      </c>
      <c r="V1252" s="2" t="s">
        <v>2671</v>
      </c>
      <c r="W1252" s="2">
        <v>2</v>
      </c>
    </row>
    <row r="1253" spans="1:23" ht="15.75" customHeight="1" x14ac:dyDescent="0.35">
      <c r="A1253" s="2" t="s">
        <v>23</v>
      </c>
      <c r="L1253" s="2">
        <v>96</v>
      </c>
      <c r="M1253" s="2" t="s">
        <v>229</v>
      </c>
      <c r="O1253" s="2" t="s">
        <v>2672</v>
      </c>
      <c r="P1253" s="2" t="str">
        <f ca="1">IFERROR(__xludf.DUMMYFUNCTION("GOOGLETRANSLATE(O1253,""en"",""bn"")"),"শেফালি বাইন")</f>
        <v>শেফালি বাইন</v>
      </c>
      <c r="Q1253" s="2" t="s">
        <v>1322</v>
      </c>
      <c r="S1253" s="2" t="s">
        <v>1322</v>
      </c>
      <c r="V1253" s="2" t="s">
        <v>2673</v>
      </c>
      <c r="W1253" s="2">
        <v>2</v>
      </c>
    </row>
    <row r="1254" spans="1:23" ht="15.75" customHeight="1" x14ac:dyDescent="0.35">
      <c r="A1254" s="2" t="s">
        <v>23</v>
      </c>
      <c r="L1254" s="2">
        <v>134</v>
      </c>
      <c r="M1254" s="2" t="s">
        <v>274</v>
      </c>
      <c r="O1254" s="2" t="s">
        <v>2674</v>
      </c>
      <c r="P1254" s="2" t="str">
        <f ca="1">IFERROR(__xludf.DUMMYFUNCTION("GOOGLETRANSLATE(O1254,""en"",""bn"")"),"পলাশ সর্দার")</f>
        <v>পলাশ সর্দার</v>
      </c>
      <c r="Q1254" s="2" t="s">
        <v>1322</v>
      </c>
      <c r="S1254" s="2" t="s">
        <v>1322</v>
      </c>
      <c r="V1254" s="2" t="s">
        <v>2675</v>
      </c>
      <c r="W1254" s="2">
        <v>2</v>
      </c>
    </row>
    <row r="1255" spans="1:23" ht="15.75" customHeight="1" x14ac:dyDescent="0.35">
      <c r="A1255" s="2" t="s">
        <v>23</v>
      </c>
      <c r="L1255" s="2">
        <v>176</v>
      </c>
      <c r="M1255" s="2" t="s">
        <v>139</v>
      </c>
      <c r="O1255" s="2" t="s">
        <v>2676</v>
      </c>
      <c r="P1255" s="2" t="str">
        <f ca="1">IFERROR(__xludf.DUMMYFUNCTION("GOOGLETRANSLATE(O1255,""en"",""bn"")"),"রাজিব রায়")</f>
        <v>রাজিব রায়</v>
      </c>
      <c r="Q1255" s="2" t="s">
        <v>1322</v>
      </c>
      <c r="S1255" s="2" t="s">
        <v>1322</v>
      </c>
      <c r="V1255" s="2" t="s">
        <v>2677</v>
      </c>
      <c r="W1255" s="2">
        <v>2</v>
      </c>
    </row>
    <row r="1256" spans="1:23" ht="15.75" customHeight="1" x14ac:dyDescent="0.35">
      <c r="A1256" s="2" t="s">
        <v>23</v>
      </c>
      <c r="L1256" s="2">
        <v>198</v>
      </c>
      <c r="M1256" s="2" t="s">
        <v>381</v>
      </c>
      <c r="O1256" s="2" t="s">
        <v>2678</v>
      </c>
      <c r="P1256" s="2" t="str">
        <f ca="1">IFERROR(__xludf.DUMMYFUNCTION("GOOGLETRANSLATE(O1256,""en"",""bn"")"),"দিতি ভট্টাচার্য")</f>
        <v>দিতি ভট্টাচার্য</v>
      </c>
      <c r="Q1256" s="2" t="s">
        <v>1322</v>
      </c>
      <c r="S1256" s="2" t="s">
        <v>1322</v>
      </c>
      <c r="V1256" s="2" t="s">
        <v>2679</v>
      </c>
      <c r="W1256" s="2">
        <v>2</v>
      </c>
    </row>
    <row r="1257" spans="1:23" ht="15.75" customHeight="1" x14ac:dyDescent="0.35">
      <c r="A1257" s="2" t="s">
        <v>23</v>
      </c>
      <c r="L1257" s="2">
        <v>149</v>
      </c>
      <c r="M1257" s="2" t="s">
        <v>51</v>
      </c>
      <c r="O1257" s="2" t="s">
        <v>2680</v>
      </c>
      <c r="P1257" s="2" t="str">
        <f ca="1">IFERROR(__xludf.DUMMYFUNCTION("GOOGLETRANSLATE(O1257,""en"",""bn"")"),"ইশতিয়াক আনোয়ার")</f>
        <v>ইশতিয়াক আনোয়ার</v>
      </c>
      <c r="Q1257" s="2" t="s">
        <v>1322</v>
      </c>
      <c r="S1257" s="2" t="s">
        <v>1322</v>
      </c>
      <c r="V1257" s="2" t="s">
        <v>2681</v>
      </c>
      <c r="W1257" s="2">
        <v>2</v>
      </c>
    </row>
    <row r="1258" spans="1:23" ht="15.75" customHeight="1" x14ac:dyDescent="0.35">
      <c r="A1258" s="2" t="s">
        <v>23</v>
      </c>
      <c r="L1258" s="2">
        <v>173</v>
      </c>
      <c r="M1258" s="2" t="s">
        <v>127</v>
      </c>
      <c r="O1258" s="2" t="s">
        <v>2682</v>
      </c>
      <c r="P1258" s="2" t="str">
        <f ca="1">IFERROR(__xludf.DUMMYFUNCTION("GOOGLETRANSLATE(O1258,""en"",""bn"")"),"পবিত্র বিশ্বাস")</f>
        <v>পবিত্র বিশ্বাস</v>
      </c>
      <c r="Q1258" s="2" t="s">
        <v>1322</v>
      </c>
      <c r="S1258" s="2" t="s">
        <v>1322</v>
      </c>
      <c r="V1258" s="2" t="s">
        <v>2683</v>
      </c>
      <c r="W1258" s="2">
        <v>2</v>
      </c>
    </row>
    <row r="1259" spans="1:23" ht="15.75" customHeight="1" x14ac:dyDescent="0.35">
      <c r="A1259" s="2" t="s">
        <v>23</v>
      </c>
      <c r="L1259" s="2">
        <v>92</v>
      </c>
      <c r="M1259" s="2" t="s">
        <v>321</v>
      </c>
      <c r="O1259" s="2" t="s">
        <v>2459</v>
      </c>
      <c r="P1259" s="2" t="str">
        <f ca="1">IFERROR(__xludf.DUMMYFUNCTION("GOOGLETRANSLATE(O1259,""en"",""bn"")"),"সুব্রত দাস")</f>
        <v>সুব্রত দাস</v>
      </c>
      <c r="Q1259" s="2" t="s">
        <v>1322</v>
      </c>
      <c r="S1259" s="2" t="s">
        <v>1322</v>
      </c>
      <c r="V1259" s="2" t="s">
        <v>2684</v>
      </c>
      <c r="W1259" s="2">
        <v>2</v>
      </c>
    </row>
    <row r="1260" spans="1:23" ht="15.75" customHeight="1" x14ac:dyDescent="0.35">
      <c r="A1260" s="2" t="s">
        <v>23</v>
      </c>
      <c r="L1260" s="2">
        <v>159</v>
      </c>
      <c r="M1260" s="2" t="s">
        <v>157</v>
      </c>
      <c r="O1260" s="2" t="s">
        <v>2685</v>
      </c>
      <c r="P1260" s="2" t="str">
        <f ca="1">IFERROR(__xludf.DUMMYFUNCTION("GOOGLETRANSLATE(O1260,""en"",""bn"")"),"সফর শেখ")</f>
        <v>সফর শেখ</v>
      </c>
      <c r="Q1260" s="2" t="s">
        <v>1322</v>
      </c>
      <c r="S1260" s="2" t="s">
        <v>1322</v>
      </c>
      <c r="V1260" s="2" t="s">
        <v>2686</v>
      </c>
      <c r="W1260" s="2">
        <v>2</v>
      </c>
    </row>
    <row r="1261" spans="1:23" ht="15.75" customHeight="1" x14ac:dyDescent="0.35">
      <c r="A1261" s="2" t="s">
        <v>23</v>
      </c>
      <c r="L1261" s="2">
        <v>120</v>
      </c>
      <c r="M1261" s="2" t="s">
        <v>309</v>
      </c>
      <c r="O1261" s="2" t="s">
        <v>2687</v>
      </c>
      <c r="P1261" s="2" t="str">
        <f ca="1">IFERROR(__xludf.DUMMYFUNCTION("GOOGLETRANSLATE(O1261,""en"",""bn"")"),"ইজাজ আহমেদ")</f>
        <v>ইজাজ আহমেদ</v>
      </c>
      <c r="Q1261" s="2" t="s">
        <v>1322</v>
      </c>
      <c r="S1261" s="2" t="s">
        <v>1322</v>
      </c>
      <c r="V1261" s="2" t="s">
        <v>2688</v>
      </c>
      <c r="W1261" s="2">
        <v>2</v>
      </c>
    </row>
    <row r="1262" spans="1:23" ht="15.75" customHeight="1" x14ac:dyDescent="0.35">
      <c r="A1262" s="2" t="s">
        <v>23</v>
      </c>
      <c r="L1262" s="2">
        <v>150</v>
      </c>
      <c r="M1262" s="2" t="s">
        <v>181</v>
      </c>
      <c r="O1262" s="2" t="s">
        <v>1083</v>
      </c>
      <c r="P1262" s="2" t="str">
        <f ca="1">IFERROR(__xludf.DUMMYFUNCTION("GOOGLETRANSLATE(O1262,""en"",""bn"")"),"বিশ্বজিৎ দাস")</f>
        <v>বিশ্বজিৎ দাস</v>
      </c>
      <c r="Q1262" s="2" t="s">
        <v>1322</v>
      </c>
      <c r="S1262" s="2" t="s">
        <v>1322</v>
      </c>
      <c r="V1262" s="2" t="s">
        <v>2689</v>
      </c>
      <c r="W1262" s="2">
        <v>2</v>
      </c>
    </row>
    <row r="1263" spans="1:23" ht="15.75" customHeight="1" x14ac:dyDescent="0.35">
      <c r="A1263" s="2" t="s">
        <v>23</v>
      </c>
      <c r="L1263" s="2">
        <v>172</v>
      </c>
      <c r="M1263" s="2" t="s">
        <v>28</v>
      </c>
      <c r="O1263" s="2" t="s">
        <v>2690</v>
      </c>
      <c r="P1263" s="2" t="str">
        <f ca="1">IFERROR(__xludf.DUMMYFUNCTION("GOOGLETRANSLATE(O1263,""en"",""bn"")"),"সুরজিৎ দাস")</f>
        <v>সুরজিৎ দাস</v>
      </c>
      <c r="Q1263" s="2" t="s">
        <v>1322</v>
      </c>
      <c r="S1263" s="2" t="s">
        <v>1322</v>
      </c>
      <c r="V1263" s="2" t="s">
        <v>2691</v>
      </c>
      <c r="W1263" s="2">
        <v>2</v>
      </c>
    </row>
    <row r="1264" spans="1:23" ht="15.75" customHeight="1" x14ac:dyDescent="0.35">
      <c r="A1264" s="2" t="s">
        <v>23</v>
      </c>
      <c r="L1264" s="2">
        <v>86</v>
      </c>
      <c r="M1264" s="2" t="s">
        <v>432</v>
      </c>
      <c r="O1264" s="2" t="s">
        <v>2692</v>
      </c>
      <c r="P1264" s="2" t="str">
        <f ca="1">IFERROR(__xludf.DUMMYFUNCTION("GOOGLETRANSLATE(O1264,""en"",""bn"")"),"সৌরভ বিশ্বাস")</f>
        <v>সৌরভ বিশ্বাস</v>
      </c>
      <c r="Q1264" s="2" t="s">
        <v>1322</v>
      </c>
      <c r="S1264" s="2" t="s">
        <v>1322</v>
      </c>
      <c r="V1264" s="2" t="s">
        <v>2693</v>
      </c>
      <c r="W1264" s="2">
        <v>2</v>
      </c>
    </row>
    <row r="1265" spans="1:23" ht="15.75" customHeight="1" x14ac:dyDescent="0.35">
      <c r="A1265" s="2" t="s">
        <v>23</v>
      </c>
      <c r="L1265" s="2">
        <v>189</v>
      </c>
      <c r="M1265" s="2" t="s">
        <v>223</v>
      </c>
      <c r="O1265" s="2" t="s">
        <v>2694</v>
      </c>
      <c r="P1265" s="2" t="str">
        <f ca="1">IFERROR(__xludf.DUMMYFUNCTION("GOOGLETRANSLATE(O1265,""en"",""bn"")"),"সঞ্জয় মাতাব্বার")</f>
        <v>সঞ্জয় মাতাব্বার</v>
      </c>
      <c r="Q1265" s="2" t="s">
        <v>1322</v>
      </c>
      <c r="S1265" s="2" t="s">
        <v>1322</v>
      </c>
      <c r="V1265" s="2" t="s">
        <v>2695</v>
      </c>
      <c r="W1265" s="2">
        <v>2</v>
      </c>
    </row>
    <row r="1266" spans="1:23" ht="15.75" customHeight="1" x14ac:dyDescent="0.35">
      <c r="A1266" s="2" t="s">
        <v>23</v>
      </c>
      <c r="L1266" s="2">
        <v>153</v>
      </c>
      <c r="M1266" s="2" t="s">
        <v>345</v>
      </c>
      <c r="O1266" s="2" t="s">
        <v>2696</v>
      </c>
      <c r="P1266" s="2" t="str">
        <f ca="1">IFERROR(__xludf.DUMMYFUNCTION("GOOGLETRANSLATE(O1266,""en"",""bn"")"),"কৃষ্ণশিষ গঙ্গোপাধ্যায়")</f>
        <v>কৃষ্ণশিষ গঙ্গোপাধ্যায়</v>
      </c>
      <c r="Q1266" s="2" t="s">
        <v>1322</v>
      </c>
      <c r="S1266" s="2" t="s">
        <v>1322</v>
      </c>
      <c r="V1266" s="2" t="s">
        <v>2697</v>
      </c>
      <c r="W1266" s="2">
        <v>2</v>
      </c>
    </row>
    <row r="1267" spans="1:23" ht="15.75" customHeight="1" x14ac:dyDescent="0.35">
      <c r="A1267" s="2" t="s">
        <v>23</v>
      </c>
      <c r="L1267" s="2">
        <v>93</v>
      </c>
      <c r="M1267" s="2" t="s">
        <v>187</v>
      </c>
      <c r="O1267" s="2" t="s">
        <v>2698</v>
      </c>
      <c r="P1267" s="2" t="str">
        <f ca="1">IFERROR(__xludf.DUMMYFUNCTION("GOOGLETRANSLATE(O1267,""en"",""bn"")"),"বিজয় মজুমদার")</f>
        <v>বিজয় মজুমদার</v>
      </c>
      <c r="Q1267" s="2" t="s">
        <v>1322</v>
      </c>
      <c r="S1267" s="2" t="s">
        <v>1322</v>
      </c>
      <c r="V1267" s="2" t="s">
        <v>2699</v>
      </c>
      <c r="W1267" s="2">
        <v>2</v>
      </c>
    </row>
    <row r="1268" spans="1:23" ht="15.75" customHeight="1" x14ac:dyDescent="0.35">
      <c r="A1268" s="2" t="s">
        <v>23</v>
      </c>
      <c r="L1268" s="2">
        <v>80</v>
      </c>
      <c r="M1268" s="2" t="s">
        <v>175</v>
      </c>
      <c r="O1268" s="2" t="s">
        <v>2700</v>
      </c>
      <c r="P1268" s="2" t="str">
        <f ca="1">IFERROR(__xludf.DUMMYFUNCTION("GOOGLETRANSLATE(O1268,""en"",""bn"")"),"সুমিত ঘোষ")</f>
        <v>সুমিত ঘোষ</v>
      </c>
      <c r="Q1268" s="2" t="s">
        <v>1322</v>
      </c>
      <c r="S1268" s="2" t="s">
        <v>1322</v>
      </c>
      <c r="V1268" s="2" t="s">
        <v>2701</v>
      </c>
      <c r="W1268" s="2">
        <v>2</v>
      </c>
    </row>
    <row r="1269" spans="1:23" ht="15.75" customHeight="1" x14ac:dyDescent="0.35">
      <c r="A1269" s="2" t="s">
        <v>23</v>
      </c>
      <c r="L1269" s="2">
        <v>170</v>
      </c>
      <c r="M1269" s="2" t="s">
        <v>438</v>
      </c>
      <c r="O1269" s="2" t="s">
        <v>2702</v>
      </c>
      <c r="P1269" s="2" t="str">
        <f ca="1">IFERROR(__xludf.DUMMYFUNCTION("GOOGLETRANSLATE(O1269,""en"",""bn"")"),"শঙ্কর খা")</f>
        <v>শঙ্কর খা</v>
      </c>
      <c r="Q1269" s="2" t="s">
        <v>1322</v>
      </c>
      <c r="S1269" s="2" t="s">
        <v>1322</v>
      </c>
      <c r="V1269" s="2" t="s">
        <v>2703</v>
      </c>
      <c r="W1269" s="2">
        <v>2</v>
      </c>
    </row>
    <row r="1270" spans="1:23" ht="15.75" customHeight="1" x14ac:dyDescent="0.35">
      <c r="A1270" s="2" t="s">
        <v>23</v>
      </c>
      <c r="L1270" s="2">
        <v>95</v>
      </c>
      <c r="M1270" s="2" t="s">
        <v>142</v>
      </c>
      <c r="O1270" s="2" t="s">
        <v>1083</v>
      </c>
      <c r="P1270" s="2" t="str">
        <f ca="1">IFERROR(__xludf.DUMMYFUNCTION("GOOGLETRANSLATE(O1270,""en"",""bn"")"),"বিশ্বজিৎ দাস")</f>
        <v>বিশ্বজিৎ দাস</v>
      </c>
      <c r="Q1270" s="2" t="s">
        <v>1322</v>
      </c>
      <c r="S1270" s="2" t="s">
        <v>1322</v>
      </c>
      <c r="V1270" s="2" t="s">
        <v>2704</v>
      </c>
      <c r="W1270" s="2">
        <v>2</v>
      </c>
    </row>
    <row r="1271" spans="1:23" ht="15.75" customHeight="1" x14ac:dyDescent="0.35">
      <c r="A1271" s="2" t="s">
        <v>23</v>
      </c>
      <c r="L1271" s="2">
        <v>94</v>
      </c>
      <c r="M1271" s="2" t="s">
        <v>253</v>
      </c>
      <c r="O1271" s="2" t="s">
        <v>2705</v>
      </c>
      <c r="P1271" s="2" t="str">
        <f ca="1">IFERROR(__xludf.DUMMYFUNCTION("GOOGLETRANSLATE(O1271,""en"",""bn"")"),"মানিক বাগচি")</f>
        <v>মানিক বাগচি</v>
      </c>
      <c r="Q1271" s="2" t="s">
        <v>1322</v>
      </c>
      <c r="S1271" s="2" t="s">
        <v>1322</v>
      </c>
      <c r="V1271" s="2" t="s">
        <v>2706</v>
      </c>
      <c r="W1271" s="2">
        <v>2</v>
      </c>
    </row>
    <row r="1272" spans="1:23" ht="15.75" customHeight="1" x14ac:dyDescent="0.35">
      <c r="A1272" s="2" t="s">
        <v>23</v>
      </c>
      <c r="L1272" s="2">
        <v>195</v>
      </c>
      <c r="M1272" s="2" t="s">
        <v>235</v>
      </c>
      <c r="O1272" s="2" t="s">
        <v>2707</v>
      </c>
      <c r="P1272" s="2" t="str">
        <f ca="1">IFERROR(__xludf.DUMMYFUNCTION("GOOGLETRANSLATE(O1272,""en"",""bn"")"),"সঞ্জীব ধারা")</f>
        <v>সঞ্জীব ধারা</v>
      </c>
      <c r="Q1272" s="2" t="s">
        <v>1322</v>
      </c>
      <c r="S1272" s="2" t="s">
        <v>1322</v>
      </c>
      <c r="V1272" s="2" t="s">
        <v>2708</v>
      </c>
      <c r="W1272" s="2">
        <v>2</v>
      </c>
    </row>
    <row r="1273" spans="1:23" ht="15.75" customHeight="1" x14ac:dyDescent="0.35">
      <c r="A1273" s="2" t="s">
        <v>23</v>
      </c>
      <c r="L1273" s="2">
        <v>169</v>
      </c>
      <c r="M1273" s="2" t="s">
        <v>90</v>
      </c>
      <c r="O1273" s="2" t="s">
        <v>2709</v>
      </c>
      <c r="P1273" s="2" t="str">
        <f ca="1">IFERROR(__xludf.DUMMYFUNCTION("GOOGLETRANSLATE(O1273,""en"",""bn"")"),"নিশু কুরমি")</f>
        <v>নিশু কুরমি</v>
      </c>
      <c r="Q1273" s="2" t="s">
        <v>1322</v>
      </c>
      <c r="S1273" s="2" t="s">
        <v>1322</v>
      </c>
      <c r="V1273" s="2" t="s">
        <v>2710</v>
      </c>
      <c r="W1273" s="2">
        <v>2</v>
      </c>
    </row>
    <row r="1274" spans="1:23" ht="15.75" customHeight="1" x14ac:dyDescent="0.35">
      <c r="A1274" s="2" t="s">
        <v>23</v>
      </c>
      <c r="L1274" s="2">
        <v>85</v>
      </c>
      <c r="M1274" s="2" t="s">
        <v>387</v>
      </c>
      <c r="O1274" s="2" t="s">
        <v>2711</v>
      </c>
      <c r="P1274" s="2" t="str">
        <f ca="1">IFERROR(__xludf.DUMMYFUNCTION("GOOGLETRANSLATE(O1274,""en"",""bn"")"),"বোমকেশ ঘোষ")</f>
        <v>বোমকেশ ঘোষ</v>
      </c>
      <c r="Q1274" s="2" t="s">
        <v>1322</v>
      </c>
      <c r="S1274" s="2" t="s">
        <v>1322</v>
      </c>
      <c r="V1274" s="2" t="s">
        <v>2712</v>
      </c>
      <c r="W1274" s="2">
        <v>2</v>
      </c>
    </row>
    <row r="1275" spans="1:23" ht="15.75" customHeight="1" x14ac:dyDescent="0.35">
      <c r="A1275" s="2" t="s">
        <v>23</v>
      </c>
      <c r="L1275" s="2">
        <v>111</v>
      </c>
      <c r="M1275" s="2" t="s">
        <v>369</v>
      </c>
      <c r="O1275" s="2" t="s">
        <v>2713</v>
      </c>
      <c r="P1275" s="2" t="str">
        <f ca="1">IFERROR(__xludf.DUMMYFUNCTION("GOOGLETRANSLATE(O1275,""en"",""bn"")"),"সঞ্জীব কুমার ঘোষ")</f>
        <v>সঞ্জীব কুমার ঘোষ</v>
      </c>
      <c r="Q1275" s="2" t="s">
        <v>1322</v>
      </c>
      <c r="S1275" s="2" t="s">
        <v>1322</v>
      </c>
      <c r="V1275" s="2" t="s">
        <v>2714</v>
      </c>
      <c r="W1275" s="2">
        <v>2</v>
      </c>
    </row>
    <row r="1276" spans="1:23" ht="15.75" customHeight="1" x14ac:dyDescent="0.35">
      <c r="A1276" s="2" t="s">
        <v>23</v>
      </c>
      <c r="L1276" s="2">
        <v>107</v>
      </c>
      <c r="M1276" s="2" t="s">
        <v>32</v>
      </c>
      <c r="O1276" s="2" t="s">
        <v>2715</v>
      </c>
      <c r="P1276" s="2" t="str">
        <f ca="1">IFERROR(__xludf.DUMMYFUNCTION("GOOGLETRANSLATE(O1276,""en"",""bn"")"),"বান্টি রাজাক")</f>
        <v>বান্টি রাজাক</v>
      </c>
      <c r="Q1276" s="2" t="s">
        <v>1322</v>
      </c>
      <c r="S1276" s="2" t="s">
        <v>1322</v>
      </c>
      <c r="V1276" s="2" t="s">
        <v>2716</v>
      </c>
      <c r="W1276" s="2">
        <v>2</v>
      </c>
    </row>
    <row r="1277" spans="1:23" ht="15.75" customHeight="1" x14ac:dyDescent="0.35">
      <c r="A1277" s="2" t="s">
        <v>23</v>
      </c>
      <c r="L1277" s="2">
        <v>135</v>
      </c>
      <c r="M1277" s="2" t="s">
        <v>333</v>
      </c>
      <c r="O1277" s="2" t="s">
        <v>2717</v>
      </c>
      <c r="P1277" s="2" t="str">
        <f ca="1">IFERROR(__xludf.DUMMYFUNCTION("GOOGLETRANSLATE(O1277,""en"",""bn"")"),"মল্লিকা পাইক W/O - সুশেন পাইক")</f>
        <v>মল্লিকা পাইক W/O - সুশেন পাইক</v>
      </c>
      <c r="Q1277" s="2" t="s">
        <v>1322</v>
      </c>
      <c r="S1277" s="2" t="s">
        <v>1322</v>
      </c>
      <c r="V1277" s="2" t="s">
        <v>2718</v>
      </c>
      <c r="W1277" s="2">
        <v>2</v>
      </c>
    </row>
    <row r="1278" spans="1:23" ht="15.75" customHeight="1" x14ac:dyDescent="0.35">
      <c r="A1278" s="2" t="s">
        <v>23</v>
      </c>
      <c r="L1278" s="2">
        <v>196</v>
      </c>
      <c r="M1278" s="2" t="s">
        <v>148</v>
      </c>
      <c r="O1278" s="2" t="s">
        <v>2719</v>
      </c>
      <c r="P1278" s="2" t="str">
        <f ca="1">IFERROR(__xludf.DUMMYFUNCTION("GOOGLETRANSLATE(O1278,""en"",""bn"")"),"এসকে মোজাফফর")</f>
        <v>এসকে মোজাফফর</v>
      </c>
      <c r="Q1278" s="2" t="s">
        <v>1322</v>
      </c>
      <c r="S1278" s="2" t="s">
        <v>1322</v>
      </c>
      <c r="V1278" s="2" t="s">
        <v>2720</v>
      </c>
      <c r="W1278" s="2">
        <v>2</v>
      </c>
    </row>
    <row r="1279" spans="1:23" ht="15.75" customHeight="1" x14ac:dyDescent="0.35">
      <c r="A1279" s="2" t="s">
        <v>23</v>
      </c>
      <c r="L1279" s="2">
        <v>88</v>
      </c>
      <c r="M1279" s="2" t="s">
        <v>306</v>
      </c>
      <c r="O1279" s="2" t="s">
        <v>2721</v>
      </c>
      <c r="P1279" s="2" t="str">
        <f ca="1">IFERROR(__xludf.DUMMYFUNCTION("GOOGLETRANSLATE(O1279,""en"",""bn"")"),"মিলান কুমার মন্ডল")</f>
        <v>মিলান কুমার মন্ডল</v>
      </c>
      <c r="Q1279" s="2" t="s">
        <v>1322</v>
      </c>
      <c r="S1279" s="2" t="s">
        <v>1322</v>
      </c>
      <c r="V1279" s="2" t="s">
        <v>2722</v>
      </c>
      <c r="W1279" s="2">
        <v>2</v>
      </c>
    </row>
    <row r="1280" spans="1:23" ht="15.75" customHeight="1" x14ac:dyDescent="0.35">
      <c r="A1280" s="2" t="s">
        <v>23</v>
      </c>
      <c r="L1280" s="2">
        <v>140</v>
      </c>
      <c r="M1280" s="2" t="s">
        <v>429</v>
      </c>
      <c r="O1280" s="2" t="s">
        <v>2459</v>
      </c>
      <c r="P1280" s="2" t="str">
        <f ca="1">IFERROR(__xludf.DUMMYFUNCTION("GOOGLETRANSLATE(O1280,""en"",""bn"")"),"সুব্রত দাস")</f>
        <v>সুব্রত দাস</v>
      </c>
      <c r="Q1280" s="2" t="s">
        <v>1322</v>
      </c>
      <c r="S1280" s="2" t="s">
        <v>1322</v>
      </c>
      <c r="V1280" s="2" t="s">
        <v>2723</v>
      </c>
      <c r="W1280" s="2">
        <v>2</v>
      </c>
    </row>
    <row r="1281" spans="1:23" ht="15.75" customHeight="1" x14ac:dyDescent="0.35">
      <c r="A1281" s="2" t="s">
        <v>23</v>
      </c>
      <c r="L1281" s="2">
        <v>78</v>
      </c>
      <c r="M1281" s="2" t="s">
        <v>47</v>
      </c>
      <c r="O1281" s="2" t="s">
        <v>2724</v>
      </c>
      <c r="P1281" s="2" t="str">
        <f ca="1">IFERROR(__xludf.DUMMYFUNCTION("GOOGLETRANSLATE(O1281,""en"",""bn"")"),"সমর কুমার বিশ্বাস")</f>
        <v>সমর কুমার বিশ্বাস</v>
      </c>
      <c r="Q1281" s="2" t="s">
        <v>1322</v>
      </c>
      <c r="S1281" s="2" t="s">
        <v>1322</v>
      </c>
      <c r="V1281" s="2" t="s">
        <v>2725</v>
      </c>
      <c r="W1281" s="2">
        <v>2</v>
      </c>
    </row>
    <row r="1282" spans="1:23" ht="15.75" customHeight="1" x14ac:dyDescent="0.35">
      <c r="A1282" s="2" t="s">
        <v>23</v>
      </c>
      <c r="L1282" s="2">
        <v>137</v>
      </c>
      <c r="M1282" s="2" t="s">
        <v>372</v>
      </c>
      <c r="O1282" s="2" t="s">
        <v>2726</v>
      </c>
      <c r="P1282" s="2" t="str">
        <f ca="1">IFERROR(__xludf.DUMMYFUNCTION("GOOGLETRANSLATE(O1282,""en"",""bn"")"),"শম্ভু সর্দার")</f>
        <v>শম্ভু সর্দার</v>
      </c>
      <c r="Q1282" s="2" t="s">
        <v>1322</v>
      </c>
      <c r="S1282" s="2" t="s">
        <v>1322</v>
      </c>
      <c r="V1282" s="2" t="s">
        <v>2727</v>
      </c>
      <c r="W1282" s="2">
        <v>2</v>
      </c>
    </row>
    <row r="1283" spans="1:23" ht="15.75" customHeight="1" x14ac:dyDescent="0.35">
      <c r="A1283" s="2" t="s">
        <v>23</v>
      </c>
      <c r="L1283" s="2">
        <v>161</v>
      </c>
      <c r="M1283" s="2" t="s">
        <v>112</v>
      </c>
      <c r="O1283" s="2" t="s">
        <v>2728</v>
      </c>
      <c r="P1283" s="2" t="str">
        <f ca="1">IFERROR(__xludf.DUMMYFUNCTION("GOOGLETRANSLATE(O1283,""en"",""bn"")"),"রিপা ভট্টাচার্য")</f>
        <v>রিপা ভট্টাচার্য</v>
      </c>
      <c r="Q1283" s="2" t="s">
        <v>1322</v>
      </c>
      <c r="S1283" s="2" t="s">
        <v>1322</v>
      </c>
      <c r="V1283" s="2" t="s">
        <v>2729</v>
      </c>
      <c r="W1283" s="2">
        <v>2</v>
      </c>
    </row>
    <row r="1284" spans="1:23" ht="15.75" customHeight="1" x14ac:dyDescent="0.35">
      <c r="A1284" s="2" t="s">
        <v>23</v>
      </c>
      <c r="L1284" s="2">
        <v>84</v>
      </c>
      <c r="M1284" s="2" t="s">
        <v>297</v>
      </c>
      <c r="O1284" s="2" t="s">
        <v>2730</v>
      </c>
      <c r="P1284" s="2" t="str">
        <f ca="1">IFERROR(__xludf.DUMMYFUNCTION("GOOGLETRANSLATE(O1284,""en"",""bn"")"),"শুভঙ্কর হালদার")</f>
        <v>শুভঙ্কর হালদার</v>
      </c>
      <c r="Q1284" s="2" t="s">
        <v>1322</v>
      </c>
      <c r="S1284" s="2" t="s">
        <v>1322</v>
      </c>
      <c r="V1284" s="2" t="s">
        <v>2731</v>
      </c>
      <c r="W1284" s="2">
        <v>2</v>
      </c>
    </row>
    <row r="1285" spans="1:23" ht="15.75" customHeight="1" x14ac:dyDescent="0.35">
      <c r="A1285" s="2" t="s">
        <v>23</v>
      </c>
      <c r="L1285" s="2">
        <v>97</v>
      </c>
      <c r="M1285" s="2" t="s">
        <v>423</v>
      </c>
      <c r="O1285" s="2" t="s">
        <v>2732</v>
      </c>
      <c r="P1285" s="2" t="str">
        <f ca="1">IFERROR(__xludf.DUMMYFUNCTION("GOOGLETRANSLATE(O1285,""en"",""bn"")"),"সুধীর মন্ডল")</f>
        <v>সুধীর মন্ডল</v>
      </c>
      <c r="Q1285" s="2" t="s">
        <v>1322</v>
      </c>
      <c r="S1285" s="2" t="s">
        <v>1322</v>
      </c>
      <c r="V1285" s="2" t="s">
        <v>2733</v>
      </c>
      <c r="W1285" s="2">
        <v>2</v>
      </c>
    </row>
    <row r="1286" spans="1:23" ht="15.75" customHeight="1" x14ac:dyDescent="0.35">
      <c r="A1286" s="2" t="s">
        <v>23</v>
      </c>
      <c r="L1286" s="2">
        <v>168</v>
      </c>
      <c r="M1286" s="2" t="s">
        <v>100</v>
      </c>
      <c r="O1286" s="2" t="s">
        <v>2734</v>
      </c>
      <c r="P1286" s="2" t="str">
        <f ca="1">IFERROR(__xludf.DUMMYFUNCTION("GOOGLETRANSLATE(O1286,""en"",""bn"")"),"বিনয় সিং")</f>
        <v>বিনয় সিং</v>
      </c>
      <c r="Q1286" s="2" t="s">
        <v>1322</v>
      </c>
      <c r="S1286" s="2" t="s">
        <v>1322</v>
      </c>
      <c r="V1286" s="2" t="s">
        <v>2735</v>
      </c>
      <c r="W1286" s="2">
        <v>2</v>
      </c>
    </row>
    <row r="1287" spans="1:23" ht="15.75" customHeight="1" x14ac:dyDescent="0.35">
      <c r="A1287" s="2" t="s">
        <v>23</v>
      </c>
      <c r="L1287" s="2">
        <v>106</v>
      </c>
      <c r="M1287" s="2" t="s">
        <v>283</v>
      </c>
      <c r="O1287" s="2" t="s">
        <v>2736</v>
      </c>
      <c r="P1287" s="2" t="str">
        <f ca="1">IFERROR(__xludf.DUMMYFUNCTION("GOOGLETRANSLATE(O1287,""en"",""bn"")"),"রাজেশ ঠাকুর")</f>
        <v>রাজেশ ঠাকুর</v>
      </c>
      <c r="Q1287" s="2" t="s">
        <v>1322</v>
      </c>
      <c r="S1287" s="2" t="s">
        <v>1322</v>
      </c>
      <c r="V1287" s="2" t="s">
        <v>2737</v>
      </c>
      <c r="W1287" s="2">
        <v>2</v>
      </c>
    </row>
    <row r="1288" spans="1:23" ht="15.75" customHeight="1" x14ac:dyDescent="0.35">
      <c r="A1288" s="2" t="s">
        <v>23</v>
      </c>
      <c r="L1288" s="2">
        <v>136</v>
      </c>
      <c r="M1288" s="2" t="s">
        <v>43</v>
      </c>
      <c r="O1288" s="2" t="s">
        <v>2738</v>
      </c>
      <c r="P1288" s="2" t="str">
        <f ca="1">IFERROR(__xludf.DUMMYFUNCTION("GOOGLETRANSLATE(O1288,""en"",""bn"")"),"পিজুশ মন্ডল")</f>
        <v>পিজুশ মন্ডল</v>
      </c>
      <c r="Q1288" s="2" t="s">
        <v>1322</v>
      </c>
      <c r="S1288" s="2" t="s">
        <v>1322</v>
      </c>
      <c r="V1288" s="2" t="s">
        <v>2739</v>
      </c>
      <c r="W1288" s="2">
        <v>2</v>
      </c>
    </row>
    <row r="1289" spans="1:23" ht="15.75" customHeight="1" x14ac:dyDescent="0.35">
      <c r="A1289" s="2" t="s">
        <v>23</v>
      </c>
      <c r="L1289" s="2">
        <v>270</v>
      </c>
      <c r="M1289" s="2" t="s">
        <v>315</v>
      </c>
      <c r="O1289" s="2" t="s">
        <v>2740</v>
      </c>
      <c r="P1289" s="2" t="str">
        <f ca="1">IFERROR(__xludf.DUMMYFUNCTION("GOOGLETRANSLATE(O1289,""en"",""bn"")"),"সুরজিৎ ঘোষ")</f>
        <v>সুরজিৎ ঘোষ</v>
      </c>
      <c r="Q1289" s="2" t="s">
        <v>1322</v>
      </c>
      <c r="S1289" s="2" t="s">
        <v>1322</v>
      </c>
      <c r="V1289" s="2" t="s">
        <v>2741</v>
      </c>
      <c r="W1289" s="2">
        <v>2</v>
      </c>
    </row>
    <row r="1290" spans="1:23" ht="15.75" customHeight="1" x14ac:dyDescent="0.35">
      <c r="A1290" s="2" t="s">
        <v>23</v>
      </c>
      <c r="L1290" s="2">
        <v>118</v>
      </c>
      <c r="M1290" s="2" t="s">
        <v>121</v>
      </c>
      <c r="O1290" s="2" t="s">
        <v>2742</v>
      </c>
      <c r="P1290" s="2" t="str">
        <f ca="1">IFERROR(__xludf.DUMMYFUNCTION("GOOGLETRANSLATE(O1290,""en"",""bn"")"),"রাজদ্বীপ ঘোষ")</f>
        <v>রাজদ্বীপ ঘোষ</v>
      </c>
      <c r="Q1290" s="2" t="s">
        <v>1322</v>
      </c>
      <c r="S1290" s="2" t="s">
        <v>1322</v>
      </c>
      <c r="V1290" s="2" t="s">
        <v>2743</v>
      </c>
      <c r="W1290" s="2">
        <v>2</v>
      </c>
    </row>
    <row r="1291" spans="1:23" ht="15.75" customHeight="1" x14ac:dyDescent="0.35">
      <c r="A1291" s="2" t="s">
        <v>23</v>
      </c>
      <c r="L1291" s="2">
        <v>174</v>
      </c>
      <c r="M1291" s="2" t="s">
        <v>256</v>
      </c>
      <c r="O1291" s="2" t="s">
        <v>2744</v>
      </c>
      <c r="P1291" s="2" t="str">
        <f ca="1">IFERROR(__xludf.DUMMYFUNCTION("GOOGLETRANSLATE(O1291,""en"",""bn"")"),"শ্রীকুমার নস্কর")</f>
        <v>শ্রীকুমার নস্কর</v>
      </c>
      <c r="Q1291" s="2" t="s">
        <v>1322</v>
      </c>
      <c r="S1291" s="2" t="s">
        <v>1322</v>
      </c>
      <c r="V1291" s="2" t="s">
        <v>2745</v>
      </c>
      <c r="W1291" s="2">
        <v>2</v>
      </c>
    </row>
    <row r="1292" spans="1:23" ht="15.75" customHeight="1" x14ac:dyDescent="0.35">
      <c r="A1292" s="2" t="s">
        <v>23</v>
      </c>
      <c r="L1292" s="2">
        <v>142</v>
      </c>
      <c r="M1292" s="2" t="s">
        <v>414</v>
      </c>
      <c r="O1292" s="2" t="s">
        <v>2746</v>
      </c>
      <c r="P1292" s="2" t="str">
        <f ca="1">IFERROR(__xludf.DUMMYFUNCTION("GOOGLETRANSLATE(O1292,""en"",""bn"")"),"পার্থ পুলে")</f>
        <v>পার্থ পুলে</v>
      </c>
      <c r="Q1292" s="2" t="s">
        <v>1322</v>
      </c>
      <c r="S1292" s="2" t="s">
        <v>1322</v>
      </c>
      <c r="V1292" s="2" t="s">
        <v>2747</v>
      </c>
      <c r="W1292" s="2">
        <v>2</v>
      </c>
    </row>
    <row r="1293" spans="1:23" ht="15.75" customHeight="1" x14ac:dyDescent="0.35">
      <c r="A1293" s="2" t="s">
        <v>23</v>
      </c>
      <c r="L1293" s="2">
        <v>181</v>
      </c>
      <c r="M1293" s="2" t="s">
        <v>193</v>
      </c>
      <c r="O1293" s="2" t="s">
        <v>2748</v>
      </c>
      <c r="P1293" s="2" t="str">
        <f ca="1">IFERROR(__xludf.DUMMYFUNCTION("GOOGLETRANSLATE(O1293,""en"",""bn"")"),"কমল কৃষ্ণ মালিক")</f>
        <v>কমল কৃষ্ণ মালিক</v>
      </c>
      <c r="Q1293" s="2" t="s">
        <v>1322</v>
      </c>
      <c r="S1293" s="2" t="s">
        <v>1322</v>
      </c>
      <c r="V1293" s="2" t="s">
        <v>2749</v>
      </c>
      <c r="W1293" s="2">
        <v>2</v>
      </c>
    </row>
    <row r="1294" spans="1:23" ht="15.75" customHeight="1" x14ac:dyDescent="0.35">
      <c r="A1294" s="2" t="s">
        <v>23</v>
      </c>
      <c r="L1294" s="2">
        <v>103</v>
      </c>
      <c r="M1294" s="2" t="s">
        <v>199</v>
      </c>
      <c r="O1294" s="2" t="s">
        <v>2750</v>
      </c>
      <c r="P1294" s="2" t="str">
        <f ca="1">IFERROR(__xludf.DUMMYFUNCTION("GOOGLETRANSLATE(O1294,""en"",""bn"")"),"প্রেমচাঁদ মিশ্র")</f>
        <v>প্রেমচাঁদ মিশ্র</v>
      </c>
      <c r="Q1294" s="2" t="s">
        <v>1322</v>
      </c>
      <c r="S1294" s="2" t="s">
        <v>1322</v>
      </c>
      <c r="V1294" s="2" t="s">
        <v>2751</v>
      </c>
      <c r="W1294" s="2">
        <v>2</v>
      </c>
    </row>
    <row r="1295" spans="1:23" ht="15.75" customHeight="1" x14ac:dyDescent="0.35">
      <c r="A1295" s="2" t="s">
        <v>23</v>
      </c>
      <c r="L1295" s="2">
        <v>158</v>
      </c>
      <c r="M1295" s="2" t="s">
        <v>57</v>
      </c>
      <c r="O1295" s="2" t="s">
        <v>2752</v>
      </c>
      <c r="P1295" s="2" t="str">
        <f ca="1">IFERROR(__xludf.DUMMYFUNCTION("GOOGLETRANSLATE(O1295,""en"",""bn"")"),"মো. মোমতাজ আলম")</f>
        <v>মো. মোমতাজ আলম</v>
      </c>
      <c r="Q1295" s="2" t="s">
        <v>1322</v>
      </c>
      <c r="S1295" s="2" t="s">
        <v>1322</v>
      </c>
      <c r="V1295" s="2" t="s">
        <v>2753</v>
      </c>
      <c r="W1295" s="2">
        <v>2</v>
      </c>
    </row>
    <row r="1296" spans="1:23" ht="15.75" customHeight="1" x14ac:dyDescent="0.35">
      <c r="A1296" s="2" t="s">
        <v>23</v>
      </c>
      <c r="L1296" s="2">
        <v>119</v>
      </c>
      <c r="M1296" s="2" t="s">
        <v>327</v>
      </c>
      <c r="O1296" s="2" t="s">
        <v>2754</v>
      </c>
      <c r="P1296" s="2" t="str">
        <f ca="1">IFERROR(__xludf.DUMMYFUNCTION("GOOGLETRANSLATE(O1296,""en"",""bn"")"),"এমডি. জাহাঙ্গীর আলী")</f>
        <v>এমডি. জাহাঙ্গীর আলী</v>
      </c>
      <c r="Q1296" s="2" t="s">
        <v>1322</v>
      </c>
      <c r="S1296" s="2" t="s">
        <v>1322</v>
      </c>
      <c r="V1296" s="2" t="s">
        <v>2755</v>
      </c>
      <c r="W1296" s="2">
        <v>2</v>
      </c>
    </row>
    <row r="1297" spans="1:23" ht="15.75" customHeight="1" x14ac:dyDescent="0.35">
      <c r="A1297" s="2" t="s">
        <v>23</v>
      </c>
      <c r="L1297" s="2">
        <v>91</v>
      </c>
      <c r="M1297" s="2" t="s">
        <v>211</v>
      </c>
      <c r="O1297" s="2" t="s">
        <v>2756</v>
      </c>
      <c r="P1297" s="2" t="str">
        <f ca="1">IFERROR(__xludf.DUMMYFUNCTION("GOOGLETRANSLATE(O1297,""en"",""bn"")"),"সৌমজ্যোতি মুখার্জি")</f>
        <v>সৌমজ্যোতি মুখার্জি</v>
      </c>
      <c r="Q1297" s="2" t="s">
        <v>1322</v>
      </c>
      <c r="S1297" s="2" t="s">
        <v>1322</v>
      </c>
      <c r="V1297" s="2" t="s">
        <v>2757</v>
      </c>
      <c r="W1297" s="2">
        <v>2</v>
      </c>
    </row>
    <row r="1298" spans="1:23" ht="15.75" customHeight="1" x14ac:dyDescent="0.35">
      <c r="A1298" s="2" t="s">
        <v>23</v>
      </c>
      <c r="L1298" s="2">
        <v>166</v>
      </c>
      <c r="M1298" s="2" t="s">
        <v>247</v>
      </c>
      <c r="O1298" s="2" t="s">
        <v>2758</v>
      </c>
      <c r="P1298" s="2" t="str">
        <f ca="1">IFERROR(__xludf.DUMMYFUNCTION("GOOGLETRANSLATE(O1298,""en"",""bn"")"),"রিমা মন্ডল")</f>
        <v>রিমা মন্ডল</v>
      </c>
      <c r="Q1298" s="2" t="s">
        <v>1322</v>
      </c>
      <c r="S1298" s="2" t="s">
        <v>1322</v>
      </c>
      <c r="V1298" s="2" t="s">
        <v>2759</v>
      </c>
      <c r="W1298" s="2">
        <v>2</v>
      </c>
    </row>
    <row r="1299" spans="1:23" ht="15.75" customHeight="1" x14ac:dyDescent="0.35">
      <c r="A1299" s="2" t="s">
        <v>23</v>
      </c>
      <c r="L1299" s="2">
        <v>267</v>
      </c>
      <c r="M1299" s="2" t="s">
        <v>54</v>
      </c>
      <c r="O1299" s="2" t="s">
        <v>2760</v>
      </c>
      <c r="P1299" s="2" t="str">
        <f ca="1">IFERROR(__xludf.DUMMYFUNCTION("GOOGLETRANSLATE(O1299,""en"",""bn"")"),"সোমনাথ সাইন")</f>
        <v>সোমনাথ সাইন</v>
      </c>
      <c r="Q1299" s="2" t="s">
        <v>1322</v>
      </c>
      <c r="S1299" s="2" t="s">
        <v>1322</v>
      </c>
      <c r="V1299" s="2" t="s">
        <v>2761</v>
      </c>
      <c r="W1299" s="2">
        <v>2</v>
      </c>
    </row>
    <row r="1300" spans="1:23" ht="15.75" customHeight="1" x14ac:dyDescent="0.35">
      <c r="A1300" s="2" t="s">
        <v>23</v>
      </c>
      <c r="L1300" s="2">
        <v>178</v>
      </c>
      <c r="M1300" s="2" t="s">
        <v>226</v>
      </c>
      <c r="O1300" s="2" t="s">
        <v>2762</v>
      </c>
      <c r="P1300" s="2" t="str">
        <f ca="1">IFERROR(__xludf.DUMMYFUNCTION("GOOGLETRANSLATE(O1300,""en"",""bn"")"),"এসকে জুলফিকার আলী")</f>
        <v>এসকে জুলফিকার আলী</v>
      </c>
      <c r="Q1300" s="2" t="s">
        <v>1322</v>
      </c>
      <c r="S1300" s="2" t="s">
        <v>1322</v>
      </c>
      <c r="V1300" s="2" t="s">
        <v>2763</v>
      </c>
      <c r="W1300" s="2">
        <v>2</v>
      </c>
    </row>
    <row r="1301" spans="1:23" ht="15.75" customHeight="1" x14ac:dyDescent="0.35">
      <c r="A1301" s="2" t="s">
        <v>23</v>
      </c>
      <c r="L1301" s="2">
        <v>143</v>
      </c>
      <c r="M1301" s="2" t="s">
        <v>163</v>
      </c>
      <c r="O1301" s="2" t="s">
        <v>2764</v>
      </c>
      <c r="P1301" s="2" t="str">
        <f ca="1">IFERROR(__xludf.DUMMYFUNCTION("GOOGLETRANSLATE(O1301,""en"",""bn"")"),"হুমায়ুন শাহ")</f>
        <v>হুমায়ুন শাহ</v>
      </c>
      <c r="Q1301" s="2" t="s">
        <v>1322</v>
      </c>
      <c r="S1301" s="2" t="s">
        <v>1322</v>
      </c>
      <c r="V1301" s="2" t="s">
        <v>2765</v>
      </c>
      <c r="W1301" s="2">
        <v>2</v>
      </c>
    </row>
    <row r="1302" spans="1:23" ht="15.75" customHeight="1" x14ac:dyDescent="0.35">
      <c r="A1302" s="2" t="s">
        <v>23</v>
      </c>
      <c r="L1302" s="2">
        <v>163</v>
      </c>
      <c r="M1302" s="2" t="s">
        <v>363</v>
      </c>
      <c r="O1302" s="2" t="s">
        <v>2766</v>
      </c>
      <c r="P1302" s="2" t="str">
        <f ca="1">IFERROR(__xludf.DUMMYFUNCTION("GOOGLETRANSLATE(O1302,""en"",""bn"")"),"কুন্দন কে.আর. শ")</f>
        <v>কুন্দন কে.আর. শ</v>
      </c>
      <c r="Q1302" s="2" t="s">
        <v>1322</v>
      </c>
      <c r="S1302" s="2" t="s">
        <v>1322</v>
      </c>
      <c r="V1302" s="2" t="s">
        <v>2767</v>
      </c>
      <c r="W1302" s="2">
        <v>2</v>
      </c>
    </row>
    <row r="1303" spans="1:23" ht="15.75" customHeight="1" x14ac:dyDescent="0.35">
      <c r="A1303" s="2" t="s">
        <v>23</v>
      </c>
      <c r="L1303" s="2">
        <v>148</v>
      </c>
      <c r="M1303" s="2" t="s">
        <v>408</v>
      </c>
      <c r="O1303" s="2" t="s">
        <v>2768</v>
      </c>
      <c r="P1303" s="2" t="str">
        <f ca="1">IFERROR(__xludf.DUMMYFUNCTION("GOOGLETRANSLATE(O1303,""en"",""bn"")"),"কামালউদ্দিন মোল্লা")</f>
        <v>কামালউদ্দিন মোল্লা</v>
      </c>
      <c r="Q1303" s="2" t="s">
        <v>1322</v>
      </c>
      <c r="S1303" s="2" t="s">
        <v>1322</v>
      </c>
      <c r="V1303" s="2" t="s">
        <v>2769</v>
      </c>
      <c r="W1303" s="2">
        <v>2</v>
      </c>
    </row>
    <row r="1304" spans="1:23" ht="15.75" customHeight="1" x14ac:dyDescent="0.35">
      <c r="A1304" s="2" t="s">
        <v>23</v>
      </c>
      <c r="L1304" s="2">
        <v>99</v>
      </c>
      <c r="M1304" s="2" t="s">
        <v>268</v>
      </c>
      <c r="O1304" s="2" t="s">
        <v>2770</v>
      </c>
      <c r="P1304" s="2" t="str">
        <f ca="1">IFERROR(__xludf.DUMMYFUNCTION("GOOGLETRANSLATE(O1304,""en"",""bn"")"),"আলী আরশাফ")</f>
        <v>আলী আরশাফ</v>
      </c>
      <c r="Q1304" s="2" t="s">
        <v>1322</v>
      </c>
      <c r="S1304" s="2" t="s">
        <v>1322</v>
      </c>
      <c r="V1304" s="2" t="s">
        <v>2771</v>
      </c>
      <c r="W1304" s="2">
        <v>2</v>
      </c>
    </row>
    <row r="1305" spans="1:23" ht="15.75" customHeight="1" x14ac:dyDescent="0.35">
      <c r="A1305" s="2" t="s">
        <v>23</v>
      </c>
      <c r="L1305" s="2">
        <v>190</v>
      </c>
      <c r="M1305" s="2" t="s">
        <v>300</v>
      </c>
      <c r="O1305" s="2" t="s">
        <v>2772</v>
      </c>
      <c r="P1305" s="2" t="str">
        <f ca="1">IFERROR(__xludf.DUMMYFUNCTION("GOOGLETRANSLATE(O1305,""en"",""bn"")"),"সুমন সরকার")</f>
        <v>সুমন সরকার</v>
      </c>
      <c r="Q1305" s="2" t="s">
        <v>1322</v>
      </c>
      <c r="S1305" s="2" t="s">
        <v>1322</v>
      </c>
      <c r="V1305" s="2" t="s">
        <v>2773</v>
      </c>
      <c r="W1305" s="2">
        <v>2</v>
      </c>
    </row>
    <row r="1306" spans="1:23" ht="15.75" customHeight="1" x14ac:dyDescent="0.35">
      <c r="A1306" s="2" t="s">
        <v>23</v>
      </c>
      <c r="L1306" s="2">
        <v>124</v>
      </c>
      <c r="M1306" s="2" t="s">
        <v>190</v>
      </c>
      <c r="O1306" s="2" t="s">
        <v>2774</v>
      </c>
      <c r="P1306" s="2" t="str">
        <f ca="1">IFERROR(__xludf.DUMMYFUNCTION("GOOGLETRANSLATE(O1306,""en"",""bn"")"),"সুরজিৎ মন্ডল")</f>
        <v>সুরজিৎ মন্ডল</v>
      </c>
      <c r="Q1306" s="2" t="s">
        <v>1322</v>
      </c>
      <c r="S1306" s="2" t="s">
        <v>1322</v>
      </c>
      <c r="V1306" s="2" t="s">
        <v>2775</v>
      </c>
      <c r="W1306" s="2">
        <v>2</v>
      </c>
    </row>
    <row r="1307" spans="1:23" ht="15.75" customHeight="1" x14ac:dyDescent="0.35">
      <c r="A1307" s="2" t="s">
        <v>23</v>
      </c>
      <c r="L1307" s="2">
        <v>164</v>
      </c>
      <c r="M1307" s="2" t="s">
        <v>402</v>
      </c>
      <c r="O1307" s="2" t="s">
        <v>2776</v>
      </c>
      <c r="P1307" s="2" t="str">
        <f ca="1">IFERROR(__xludf.DUMMYFUNCTION("GOOGLETRANSLATE(O1307,""en"",""bn"")"),"সোনালী সাহা")</f>
        <v>সোনালী সাহা</v>
      </c>
      <c r="Q1307" s="2" t="s">
        <v>1322</v>
      </c>
      <c r="S1307" s="2" t="s">
        <v>1322</v>
      </c>
      <c r="V1307" s="2" t="s">
        <v>2777</v>
      </c>
      <c r="W1307" s="2">
        <v>2</v>
      </c>
    </row>
    <row r="1308" spans="1:23" ht="15.75" customHeight="1" x14ac:dyDescent="0.35">
      <c r="A1308" s="2" t="s">
        <v>23</v>
      </c>
      <c r="L1308" s="2">
        <v>162</v>
      </c>
      <c r="M1308" s="2" t="s">
        <v>411</v>
      </c>
      <c r="O1308" s="2" t="s">
        <v>2778</v>
      </c>
      <c r="P1308" s="2" t="str">
        <f ca="1">IFERROR(__xludf.DUMMYFUNCTION("GOOGLETRANSLATE(O1308,""en"",""bn"")"),"তেজশ বোলে")</f>
        <v>তেজশ বোলে</v>
      </c>
      <c r="Q1308" s="2" t="s">
        <v>1322</v>
      </c>
      <c r="S1308" s="2" t="s">
        <v>1322</v>
      </c>
      <c r="V1308" s="2" t="s">
        <v>2779</v>
      </c>
      <c r="W1308" s="2">
        <v>2</v>
      </c>
    </row>
    <row r="1309" spans="1:23" ht="15.75" customHeight="1" x14ac:dyDescent="0.35">
      <c r="A1309" s="2" t="s">
        <v>23</v>
      </c>
      <c r="L1309" s="2">
        <v>168</v>
      </c>
      <c r="M1309" s="2" t="s">
        <v>100</v>
      </c>
      <c r="O1309" s="2" t="s">
        <v>2780</v>
      </c>
      <c r="P1309" s="2" t="str">
        <f ca="1">IFERROR(__xludf.DUMMYFUNCTION("GOOGLETRANSLATE(O1309,""en"",""bn"")"),"বিভাশ দাস")</f>
        <v>বিভাশ দাস</v>
      </c>
      <c r="Q1309" s="2" t="s">
        <v>1322</v>
      </c>
      <c r="S1309" s="2" t="s">
        <v>1322</v>
      </c>
      <c r="V1309" s="2" t="s">
        <v>2781</v>
      </c>
      <c r="W1309" s="2">
        <v>2</v>
      </c>
    </row>
    <row r="1310" spans="1:23" ht="15.75" customHeight="1" x14ac:dyDescent="0.35">
      <c r="A1310" s="2" t="s">
        <v>23</v>
      </c>
      <c r="L1310" s="2">
        <v>178</v>
      </c>
      <c r="M1310" s="2" t="s">
        <v>226</v>
      </c>
      <c r="O1310" s="2" t="s">
        <v>2782</v>
      </c>
      <c r="P1310" s="2" t="str">
        <f ca="1">IFERROR(__xludf.DUMMYFUNCTION("GOOGLETRANSLATE(O1310,""en"",""bn"")"),"লাহাবুদ্দিন খান")</f>
        <v>লাহাবুদ্দিন খান</v>
      </c>
      <c r="Q1310" s="2" t="s">
        <v>1322</v>
      </c>
      <c r="S1310" s="2" t="s">
        <v>1322</v>
      </c>
      <c r="V1310" s="2" t="s">
        <v>2783</v>
      </c>
      <c r="W1310" s="2">
        <v>2</v>
      </c>
    </row>
    <row r="1311" spans="1:23" ht="15.75" customHeight="1" x14ac:dyDescent="0.35">
      <c r="A1311" s="2" t="s">
        <v>23</v>
      </c>
      <c r="L1311" s="2">
        <v>165</v>
      </c>
      <c r="M1311" s="2" t="s">
        <v>390</v>
      </c>
      <c r="O1311" s="2" t="s">
        <v>2784</v>
      </c>
      <c r="P1311" s="2" t="str">
        <f ca="1">IFERROR(__xludf.DUMMYFUNCTION("GOOGLETRANSLATE(O1311,""en"",""bn"")"),"প্রদীপ কুমার সারাফ")</f>
        <v>প্রদীপ কুমার সারাফ</v>
      </c>
      <c r="Q1311" s="2" t="s">
        <v>1322</v>
      </c>
      <c r="S1311" s="2" t="s">
        <v>1322</v>
      </c>
      <c r="V1311" s="2" t="s">
        <v>2785</v>
      </c>
      <c r="W1311" s="2">
        <v>2</v>
      </c>
    </row>
    <row r="1312" spans="1:23" ht="15.75" customHeight="1" x14ac:dyDescent="0.35">
      <c r="A1312" s="2" t="s">
        <v>23</v>
      </c>
      <c r="L1312" s="2">
        <v>109</v>
      </c>
      <c r="M1312" s="2" t="s">
        <v>336</v>
      </c>
      <c r="O1312" s="2" t="s">
        <v>2786</v>
      </c>
      <c r="P1312" s="2" t="str">
        <f ca="1">IFERROR(__xludf.DUMMYFUNCTION("GOOGLETRANSLATE(O1312,""en"",""bn"")"),"পলাশ দত্ত")</f>
        <v>পলাশ দত্ত</v>
      </c>
      <c r="Q1312" s="2" t="s">
        <v>1322</v>
      </c>
      <c r="S1312" s="2" t="s">
        <v>1322</v>
      </c>
      <c r="V1312" s="2" t="s">
        <v>2787</v>
      </c>
      <c r="W1312" s="2">
        <v>2</v>
      </c>
    </row>
    <row r="1313" spans="1:23" ht="15.75" customHeight="1" x14ac:dyDescent="0.35">
      <c r="A1313" s="2" t="s">
        <v>23</v>
      </c>
      <c r="L1313" s="2">
        <v>149</v>
      </c>
      <c r="M1313" s="2" t="s">
        <v>51</v>
      </c>
      <c r="O1313" s="2" t="s">
        <v>2788</v>
      </c>
      <c r="P1313" s="2" t="str">
        <f ca="1">IFERROR(__xludf.DUMMYFUNCTION("GOOGLETRANSLATE(O1313,""en"",""bn"")"),"পার্থ প্রতিম রায়")</f>
        <v>পার্থ প্রতিম রায়</v>
      </c>
      <c r="Q1313" s="2" t="s">
        <v>1322</v>
      </c>
      <c r="S1313" s="2" t="s">
        <v>1322</v>
      </c>
      <c r="V1313" s="2" t="s">
        <v>2789</v>
      </c>
      <c r="W1313" s="2">
        <v>2</v>
      </c>
    </row>
    <row r="1314" spans="1:23" ht="15.75" customHeight="1" x14ac:dyDescent="0.35">
      <c r="A1314" s="2" t="s">
        <v>23</v>
      </c>
      <c r="L1314" s="2">
        <v>117</v>
      </c>
      <c r="M1314" s="2" t="s">
        <v>277</v>
      </c>
      <c r="O1314" s="2" t="s">
        <v>2790</v>
      </c>
      <c r="P1314" s="2" t="str">
        <f ca="1">IFERROR(__xludf.DUMMYFUNCTION("GOOGLETRANSLATE(O1314,""en"",""bn"")"),"লালু নেয়ে")</f>
        <v>লালু নেয়ে</v>
      </c>
      <c r="Q1314" s="2" t="s">
        <v>1322</v>
      </c>
      <c r="S1314" s="2" t="s">
        <v>1322</v>
      </c>
      <c r="V1314" s="2" t="s">
        <v>2791</v>
      </c>
      <c r="W1314" s="2">
        <v>2</v>
      </c>
    </row>
    <row r="1315" spans="1:23" ht="15.75" customHeight="1" x14ac:dyDescent="0.35">
      <c r="A1315" s="2" t="s">
        <v>23</v>
      </c>
      <c r="L1315" s="2">
        <v>167</v>
      </c>
      <c r="M1315" s="2" t="s">
        <v>109</v>
      </c>
      <c r="O1315" s="2" t="s">
        <v>2792</v>
      </c>
      <c r="P1315" s="2" t="str">
        <f ca="1">IFERROR(__xludf.DUMMYFUNCTION("GOOGLETRANSLATE(O1315,""en"",""bn"")"),"শ্যামল গুহ")</f>
        <v>শ্যামল গুহ</v>
      </c>
      <c r="Q1315" s="2" t="s">
        <v>1322</v>
      </c>
      <c r="S1315" s="2" t="s">
        <v>1322</v>
      </c>
      <c r="V1315" s="2" t="s">
        <v>2793</v>
      </c>
      <c r="W1315" s="2">
        <v>2</v>
      </c>
    </row>
    <row r="1316" spans="1:23" ht="15.75" customHeight="1" x14ac:dyDescent="0.35">
      <c r="A1316" s="2" t="s">
        <v>23</v>
      </c>
      <c r="L1316" s="2">
        <v>135</v>
      </c>
      <c r="M1316" s="2" t="s">
        <v>333</v>
      </c>
      <c r="O1316" s="2" t="s">
        <v>2794</v>
      </c>
      <c r="P1316" s="2" t="str">
        <f ca="1">IFERROR(__xludf.DUMMYFUNCTION("GOOGLETRANSLATE(O1316,""en"",""bn"")"),"মল্লিকা মন্ডল")</f>
        <v>মল্লিকা মন্ডল</v>
      </c>
      <c r="Q1316" s="2" t="s">
        <v>1322</v>
      </c>
      <c r="S1316" s="2" t="s">
        <v>1322</v>
      </c>
      <c r="V1316" s="2" t="s">
        <v>2795</v>
      </c>
      <c r="W1316" s="2">
        <v>2</v>
      </c>
    </row>
    <row r="1317" spans="1:23" ht="15.75" customHeight="1" x14ac:dyDescent="0.35">
      <c r="A1317" s="2" t="s">
        <v>23</v>
      </c>
      <c r="L1317" s="2">
        <v>173</v>
      </c>
      <c r="M1317" s="2" t="s">
        <v>127</v>
      </c>
      <c r="O1317" s="2" t="s">
        <v>2796</v>
      </c>
      <c r="P1317" s="2" t="str">
        <f ca="1">IFERROR(__xludf.DUMMYFUNCTION("GOOGLETRANSLATE(O1317,""en"",""bn"")"),"রাজেশ কুমার সিং")</f>
        <v>রাজেশ কুমার সিং</v>
      </c>
      <c r="Q1317" s="2" t="s">
        <v>1322</v>
      </c>
      <c r="S1317" s="2" t="s">
        <v>1322</v>
      </c>
      <c r="V1317" s="2" t="s">
        <v>2797</v>
      </c>
      <c r="W1317" s="2">
        <v>2</v>
      </c>
    </row>
    <row r="1318" spans="1:23" ht="15.75" customHeight="1" x14ac:dyDescent="0.35">
      <c r="A1318" s="2" t="s">
        <v>23</v>
      </c>
      <c r="L1318" s="2">
        <v>151</v>
      </c>
      <c r="M1318" s="2" t="s">
        <v>81</v>
      </c>
      <c r="O1318" s="2" t="s">
        <v>2798</v>
      </c>
      <c r="P1318" s="2" t="str">
        <f ca="1">IFERROR(__xludf.DUMMYFUNCTION("GOOGLETRANSLATE(O1318,""en"",""bn"")"),"সমীর ভট্টাচার্য")</f>
        <v>সমীর ভট্টাচার্য</v>
      </c>
      <c r="Q1318" s="2" t="s">
        <v>1322</v>
      </c>
      <c r="S1318" s="2" t="s">
        <v>1322</v>
      </c>
      <c r="V1318" s="2" t="s">
        <v>2799</v>
      </c>
      <c r="W1318" s="2">
        <v>2</v>
      </c>
    </row>
    <row r="1319" spans="1:23" ht="15.75" customHeight="1" x14ac:dyDescent="0.35">
      <c r="A1319" s="2" t="s">
        <v>23</v>
      </c>
      <c r="L1319" s="2">
        <v>198</v>
      </c>
      <c r="M1319" s="2" t="s">
        <v>381</v>
      </c>
      <c r="O1319" s="2" t="s">
        <v>2800</v>
      </c>
      <c r="P1319" s="2" t="str">
        <f ca="1">IFERROR(__xludf.DUMMYFUNCTION("GOOGLETRANSLATE(O1319,""en"",""bn"")"),"নির্মল কুমার ধারা")</f>
        <v>নির্মল কুমার ধারা</v>
      </c>
      <c r="Q1319" s="2" t="s">
        <v>1322</v>
      </c>
      <c r="S1319" s="2" t="s">
        <v>1322</v>
      </c>
      <c r="V1319" s="2" t="s">
        <v>2801</v>
      </c>
      <c r="W1319" s="2">
        <v>2</v>
      </c>
    </row>
    <row r="1320" spans="1:23" ht="15.75" customHeight="1" x14ac:dyDescent="0.35">
      <c r="A1320" s="2" t="s">
        <v>23</v>
      </c>
      <c r="L1320" s="2">
        <v>115</v>
      </c>
      <c r="M1320" s="2" t="s">
        <v>84</v>
      </c>
      <c r="O1320" s="2" t="s">
        <v>2802</v>
      </c>
      <c r="P1320" s="2" t="str">
        <f ca="1">IFERROR(__xludf.DUMMYFUNCTION("GOOGLETRANSLATE(O1320,""en"",""bn"")"),"নারায়ণ মণ্ডল")</f>
        <v>নারায়ণ মণ্ডল</v>
      </c>
      <c r="Q1320" s="2" t="s">
        <v>1322</v>
      </c>
      <c r="S1320" s="2" t="s">
        <v>1322</v>
      </c>
      <c r="V1320" s="2" t="s">
        <v>2803</v>
      </c>
      <c r="W1320" s="2">
        <v>2</v>
      </c>
    </row>
    <row r="1321" spans="1:23" ht="15.75" customHeight="1" x14ac:dyDescent="0.35">
      <c r="A1321" s="2" t="s">
        <v>23</v>
      </c>
      <c r="L1321" s="2">
        <v>158</v>
      </c>
      <c r="M1321" s="2" t="s">
        <v>57</v>
      </c>
      <c r="O1321" s="2" t="s">
        <v>2804</v>
      </c>
      <c r="P1321" s="2" t="str">
        <f ca="1">IFERROR(__xludf.DUMMYFUNCTION("GOOGLETRANSLATE(O1321,""en"",""bn"")"),"ওম প্রকাশ রাম")</f>
        <v>ওম প্রকাশ রাম</v>
      </c>
      <c r="Q1321" s="2" t="s">
        <v>1322</v>
      </c>
      <c r="S1321" s="2" t="s">
        <v>1322</v>
      </c>
      <c r="V1321" s="2" t="s">
        <v>2805</v>
      </c>
      <c r="W1321" s="2">
        <v>2</v>
      </c>
    </row>
    <row r="1322" spans="1:23" ht="15.75" customHeight="1" x14ac:dyDescent="0.35">
      <c r="A1322" s="2" t="s">
        <v>23</v>
      </c>
      <c r="L1322" s="2">
        <v>180</v>
      </c>
      <c r="M1322" s="2" t="s">
        <v>324</v>
      </c>
      <c r="O1322" s="2" t="s">
        <v>2806</v>
      </c>
      <c r="P1322" s="2" t="str">
        <f ca="1">IFERROR(__xludf.DUMMYFUNCTION("GOOGLETRANSLATE(O1322,""en"",""bn"")"),"এসকে হাসিবুল রহমান")</f>
        <v>এসকে হাসিবুল রহমান</v>
      </c>
      <c r="Q1322" s="2" t="s">
        <v>1322</v>
      </c>
      <c r="S1322" s="2" t="s">
        <v>1322</v>
      </c>
      <c r="V1322" s="2" t="s">
        <v>2807</v>
      </c>
      <c r="W1322" s="2">
        <v>2</v>
      </c>
    </row>
    <row r="1323" spans="1:23" ht="15.75" customHeight="1" x14ac:dyDescent="0.35">
      <c r="A1323" s="2" t="s">
        <v>23</v>
      </c>
      <c r="L1323" s="2">
        <v>120</v>
      </c>
      <c r="M1323" s="2" t="s">
        <v>309</v>
      </c>
      <c r="O1323" s="2" t="s">
        <v>2808</v>
      </c>
      <c r="P1323" s="2" t="str">
        <f ca="1">IFERROR(__xludf.DUMMYFUNCTION("GOOGLETRANSLATE(O1323,""en"",""bn"")"),"মোফিজুল মন্ডল")</f>
        <v>মোফিজুল মন্ডল</v>
      </c>
      <c r="Q1323" s="2" t="s">
        <v>1322</v>
      </c>
      <c r="S1323" s="2" t="s">
        <v>1322</v>
      </c>
      <c r="V1323" s="2" t="s">
        <v>2809</v>
      </c>
      <c r="W1323" s="2">
        <v>2</v>
      </c>
    </row>
    <row r="1324" spans="1:23" ht="15.75" customHeight="1" x14ac:dyDescent="0.35">
      <c r="A1324" s="2" t="s">
        <v>23</v>
      </c>
      <c r="L1324" s="2">
        <v>99</v>
      </c>
      <c r="M1324" s="2" t="s">
        <v>268</v>
      </c>
      <c r="O1324" s="2" t="s">
        <v>2810</v>
      </c>
      <c r="P1324" s="2" t="str">
        <f ca="1">IFERROR(__xludf.DUMMYFUNCTION("GOOGLETRANSLATE(O1324,""en"",""bn"")"),"কুতুবুদ্দিন আহমেদ")</f>
        <v>কুতুবুদ্দিন আহমেদ</v>
      </c>
      <c r="Q1324" s="2" t="s">
        <v>1322</v>
      </c>
      <c r="S1324" s="2" t="s">
        <v>1322</v>
      </c>
      <c r="V1324" s="2" t="s">
        <v>2811</v>
      </c>
      <c r="W1324" s="2">
        <v>2</v>
      </c>
    </row>
    <row r="1325" spans="1:23" ht="15.75" customHeight="1" x14ac:dyDescent="0.35">
      <c r="A1325" s="2" t="s">
        <v>23</v>
      </c>
      <c r="L1325" s="2">
        <v>154</v>
      </c>
      <c r="M1325" s="2" t="s">
        <v>136</v>
      </c>
      <c r="O1325" s="2" t="s">
        <v>2812</v>
      </c>
      <c r="P1325" s="2" t="str">
        <f ca="1">IFERROR(__xludf.DUMMYFUNCTION("GOOGLETRANSLATE(O1325,""en"",""bn"")"),"নিহার রায়")</f>
        <v>নিহার রায়</v>
      </c>
      <c r="Q1325" s="2" t="s">
        <v>1322</v>
      </c>
      <c r="S1325" s="2" t="s">
        <v>1322</v>
      </c>
      <c r="V1325" s="2" t="s">
        <v>2813</v>
      </c>
      <c r="W1325" s="2">
        <v>2</v>
      </c>
    </row>
    <row r="1326" spans="1:23" ht="15.75" customHeight="1" x14ac:dyDescent="0.35">
      <c r="A1326" s="2" t="s">
        <v>23</v>
      </c>
      <c r="L1326" s="2">
        <v>184</v>
      </c>
      <c r="M1326" s="2" t="s">
        <v>60</v>
      </c>
      <c r="O1326" s="2" t="s">
        <v>2814</v>
      </c>
      <c r="P1326" s="2" t="str">
        <f ca="1">IFERROR(__xludf.DUMMYFUNCTION("GOOGLETRANSLATE(O1326,""en"",""bn"")"),"তাপস মন্ডল")</f>
        <v>তাপস মন্ডল</v>
      </c>
      <c r="Q1326" s="2" t="s">
        <v>1322</v>
      </c>
      <c r="S1326" s="2" t="s">
        <v>1322</v>
      </c>
      <c r="V1326" s="2" t="s">
        <v>2815</v>
      </c>
      <c r="W1326" s="2">
        <v>2</v>
      </c>
    </row>
    <row r="1327" spans="1:23" ht="15.75" customHeight="1" x14ac:dyDescent="0.35">
      <c r="A1327" s="2" t="s">
        <v>23</v>
      </c>
      <c r="L1327" s="2">
        <v>186</v>
      </c>
      <c r="M1327" s="2" t="s">
        <v>250</v>
      </c>
      <c r="O1327" s="2" t="s">
        <v>2816</v>
      </c>
      <c r="P1327" s="2" t="str">
        <f ca="1">IFERROR(__xludf.DUMMYFUNCTION("GOOGLETRANSLATE(O1327,""en"",""bn"")"),"স্বপন রায়")</f>
        <v>স্বপন রায়</v>
      </c>
      <c r="Q1327" s="2" t="s">
        <v>1322</v>
      </c>
      <c r="S1327" s="2" t="s">
        <v>1322</v>
      </c>
      <c r="V1327" s="2" t="s">
        <v>2817</v>
      </c>
      <c r="W1327" s="2">
        <v>2</v>
      </c>
    </row>
    <row r="1328" spans="1:23" ht="15.75" customHeight="1" x14ac:dyDescent="0.35">
      <c r="A1328" s="2" t="s">
        <v>23</v>
      </c>
      <c r="L1328" s="2">
        <v>153</v>
      </c>
      <c r="M1328" s="2" t="s">
        <v>345</v>
      </c>
      <c r="O1328" s="2" t="s">
        <v>2818</v>
      </c>
      <c r="P1328" s="2" t="str">
        <f ca="1">IFERROR(__xludf.DUMMYFUNCTION("GOOGLETRANSLATE(O1328,""en"",""bn"")"),"পিন্টু বায়েন")</f>
        <v>পিন্টু বায়েন</v>
      </c>
      <c r="Q1328" s="2" t="s">
        <v>1322</v>
      </c>
      <c r="S1328" s="2" t="s">
        <v>1322</v>
      </c>
      <c r="V1328" s="2" t="s">
        <v>2819</v>
      </c>
      <c r="W1328" s="2">
        <v>2</v>
      </c>
    </row>
    <row r="1329" spans="1:23" ht="15.75" customHeight="1" x14ac:dyDescent="0.35">
      <c r="A1329" s="2" t="s">
        <v>23</v>
      </c>
      <c r="L1329" s="2">
        <v>137</v>
      </c>
      <c r="M1329" s="2" t="s">
        <v>372</v>
      </c>
      <c r="O1329" s="2" t="s">
        <v>2820</v>
      </c>
      <c r="P1329" s="2" t="str">
        <f ca="1">IFERROR(__xludf.DUMMYFUNCTION("GOOGLETRANSLATE(O1329,""en"",""bn"")"),"স্নেহাসিস সাহা")</f>
        <v>স্নেহাসিস সাহা</v>
      </c>
      <c r="Q1329" s="2" t="s">
        <v>1322</v>
      </c>
      <c r="S1329" s="2" t="s">
        <v>1322</v>
      </c>
      <c r="V1329" s="2" t="s">
        <v>2821</v>
      </c>
      <c r="W1329" s="2">
        <v>2</v>
      </c>
    </row>
    <row r="1330" spans="1:23" ht="15.75" customHeight="1" x14ac:dyDescent="0.35">
      <c r="A1330" s="2" t="s">
        <v>23</v>
      </c>
      <c r="L1330" s="2">
        <v>161</v>
      </c>
      <c r="M1330" s="2" t="s">
        <v>112</v>
      </c>
      <c r="O1330" s="2" t="s">
        <v>2822</v>
      </c>
      <c r="P1330" s="2" t="str">
        <f ca="1">IFERROR(__xludf.DUMMYFUNCTION("GOOGLETRANSLATE(O1330,""en"",""bn"")"),"শাইখ ইমরান")</f>
        <v>শাইখ ইমরান</v>
      </c>
      <c r="Q1330" s="2" t="s">
        <v>1322</v>
      </c>
      <c r="S1330" s="2" t="s">
        <v>1322</v>
      </c>
      <c r="V1330" s="2" t="s">
        <v>2823</v>
      </c>
      <c r="W1330" s="2">
        <v>2</v>
      </c>
    </row>
    <row r="1331" spans="1:23" ht="15.75" customHeight="1" x14ac:dyDescent="0.35">
      <c r="A1331" s="2" t="s">
        <v>23</v>
      </c>
      <c r="L1331" s="2">
        <v>176</v>
      </c>
      <c r="M1331" s="2" t="s">
        <v>139</v>
      </c>
      <c r="O1331" s="2" t="s">
        <v>2824</v>
      </c>
      <c r="P1331" s="2" t="str">
        <f ca="1">IFERROR(__xludf.DUMMYFUNCTION("GOOGLETRANSLATE(O1331,""en"",""bn"")"),"এসকে ফারহান আকতাব")</f>
        <v>এসকে ফারহান আকতাব</v>
      </c>
      <c r="Q1331" s="2" t="s">
        <v>1322</v>
      </c>
      <c r="S1331" s="2" t="s">
        <v>1322</v>
      </c>
      <c r="V1331" s="2" t="s">
        <v>2825</v>
      </c>
      <c r="W1331" s="2">
        <v>2</v>
      </c>
    </row>
    <row r="1332" spans="1:23" ht="15.75" customHeight="1" x14ac:dyDescent="0.35">
      <c r="A1332" s="2" t="s">
        <v>23</v>
      </c>
      <c r="L1332" s="2">
        <v>150</v>
      </c>
      <c r="M1332" s="2" t="s">
        <v>181</v>
      </c>
      <c r="O1332" s="2" t="s">
        <v>2826</v>
      </c>
      <c r="P1332" s="2" t="str">
        <f ca="1">IFERROR(__xludf.DUMMYFUNCTION("GOOGLETRANSLATE(O1332,""en"",""bn"")"),"ভাস্বতী গঙ্গোপাধ্যায়")</f>
        <v>ভাস্বতী গঙ্গোপাধ্যায়</v>
      </c>
      <c r="Q1332" s="2" t="s">
        <v>1322</v>
      </c>
      <c r="S1332" s="2" t="s">
        <v>1322</v>
      </c>
      <c r="V1332" s="2" t="s">
        <v>2827</v>
      </c>
      <c r="W1332" s="2">
        <v>2</v>
      </c>
    </row>
    <row r="1333" spans="1:23" ht="15.75" customHeight="1" x14ac:dyDescent="0.35">
      <c r="A1333" s="2" t="s">
        <v>23</v>
      </c>
      <c r="L1333" s="2">
        <v>196</v>
      </c>
      <c r="M1333" s="2" t="s">
        <v>148</v>
      </c>
      <c r="O1333" s="2" t="s">
        <v>2828</v>
      </c>
      <c r="P1333" s="2" t="str">
        <f ca="1">IFERROR(__xludf.DUMMYFUNCTION("GOOGLETRANSLATE(O1333,""en"",""bn"")"),"শেখ মোজাফার আলী")</f>
        <v>শেখ মোজাফার আলী</v>
      </c>
      <c r="Q1333" s="2" t="s">
        <v>1322</v>
      </c>
      <c r="S1333" s="2" t="s">
        <v>1322</v>
      </c>
      <c r="V1333" s="2" t="s">
        <v>2829</v>
      </c>
      <c r="W1333" s="2">
        <v>2</v>
      </c>
    </row>
    <row r="1334" spans="1:23" ht="15.75" customHeight="1" x14ac:dyDescent="0.35">
      <c r="A1334" s="2" t="s">
        <v>23</v>
      </c>
      <c r="L1334" s="2">
        <v>181</v>
      </c>
      <c r="M1334" s="2" t="s">
        <v>193</v>
      </c>
      <c r="O1334" s="2" t="s">
        <v>2830</v>
      </c>
      <c r="P1334" s="2" t="str">
        <f ca="1">IFERROR(__xludf.DUMMYFUNCTION("GOOGLETRANSLATE(O1334,""en"",""bn"")"),"বৈশাখী মালিক")</f>
        <v>বৈশাখী মালিক</v>
      </c>
      <c r="Q1334" s="2" t="s">
        <v>1322</v>
      </c>
      <c r="S1334" s="2" t="s">
        <v>1322</v>
      </c>
      <c r="V1334" s="2" t="s">
        <v>2831</v>
      </c>
      <c r="W1334" s="2">
        <v>2</v>
      </c>
    </row>
    <row r="1335" spans="1:23" ht="15.75" customHeight="1" x14ac:dyDescent="0.35">
      <c r="A1335" s="2" t="s">
        <v>23</v>
      </c>
      <c r="L1335" s="2">
        <v>96</v>
      </c>
      <c r="M1335" s="2" t="s">
        <v>229</v>
      </c>
      <c r="O1335" s="2" t="s">
        <v>1539</v>
      </c>
      <c r="P1335" s="2" t="str">
        <f ca="1">IFERROR(__xludf.DUMMYFUNCTION("GOOGLETRANSLATE(O1335,""en"",""bn"")"),"স্বপন মজুমদার")</f>
        <v>স্বপন মজুমদার</v>
      </c>
      <c r="Q1335" s="2" t="s">
        <v>1322</v>
      </c>
      <c r="S1335" s="2" t="s">
        <v>1322</v>
      </c>
      <c r="V1335" s="2" t="s">
        <v>2832</v>
      </c>
      <c r="W1335" s="2">
        <v>2</v>
      </c>
    </row>
    <row r="1336" spans="1:23" ht="15.75" customHeight="1" x14ac:dyDescent="0.35">
      <c r="A1336" s="2" t="s">
        <v>23</v>
      </c>
      <c r="L1336" s="2">
        <v>147</v>
      </c>
      <c r="M1336" s="2" t="s">
        <v>265</v>
      </c>
      <c r="O1336" s="2" t="s">
        <v>2833</v>
      </c>
      <c r="P1336" s="2" t="str">
        <f ca="1">IFERROR(__xludf.DUMMYFUNCTION("GOOGLETRANSLATE(O1336,""en"",""bn"")"),"রথিন সরকার")</f>
        <v>রথিন সরকার</v>
      </c>
      <c r="Q1336" s="2" t="s">
        <v>1322</v>
      </c>
      <c r="S1336" s="2" t="s">
        <v>1322</v>
      </c>
      <c r="V1336" s="2" t="s">
        <v>2834</v>
      </c>
      <c r="W1336" s="2">
        <v>2</v>
      </c>
    </row>
    <row r="1337" spans="1:23" ht="15.75" customHeight="1" x14ac:dyDescent="0.35">
      <c r="A1337" s="2" t="s">
        <v>23</v>
      </c>
      <c r="L1337" s="2">
        <v>112</v>
      </c>
      <c r="M1337" s="2" t="s">
        <v>196</v>
      </c>
      <c r="O1337" s="2" t="s">
        <v>2835</v>
      </c>
      <c r="P1337" s="2" t="str">
        <f ca="1">IFERROR(__xludf.DUMMYFUNCTION("GOOGLETRANSLATE(O1337,""en"",""bn"")"),"হিরাক সিনহা")</f>
        <v>হিরাক সিনহা</v>
      </c>
      <c r="Q1337" s="2" t="s">
        <v>1322</v>
      </c>
      <c r="S1337" s="2" t="s">
        <v>1322</v>
      </c>
      <c r="V1337" s="2" t="s">
        <v>2836</v>
      </c>
      <c r="W1337" s="2">
        <v>2</v>
      </c>
    </row>
    <row r="1338" spans="1:23" ht="15.75" customHeight="1" x14ac:dyDescent="0.35">
      <c r="A1338" s="2" t="s">
        <v>23</v>
      </c>
      <c r="L1338" s="2">
        <v>163</v>
      </c>
      <c r="M1338" s="2" t="s">
        <v>363</v>
      </c>
      <c r="O1338" s="2" t="s">
        <v>2837</v>
      </c>
      <c r="P1338" s="2" t="str">
        <f ca="1">IFERROR(__xludf.DUMMYFUNCTION("GOOGLETRANSLATE(O1338,""en"",""bn"")"),"মান্টু কর")</f>
        <v>মান্টু কর</v>
      </c>
      <c r="Q1338" s="2" t="s">
        <v>1322</v>
      </c>
      <c r="S1338" s="2" t="s">
        <v>1322</v>
      </c>
      <c r="V1338" s="2" t="s">
        <v>2838</v>
      </c>
      <c r="W1338" s="2">
        <v>2</v>
      </c>
    </row>
    <row r="1339" spans="1:23" ht="15.75" customHeight="1" x14ac:dyDescent="0.35">
      <c r="A1339" s="2" t="s">
        <v>23</v>
      </c>
      <c r="L1339" s="2">
        <v>164</v>
      </c>
      <c r="M1339" s="2" t="s">
        <v>402</v>
      </c>
      <c r="O1339" s="2" t="s">
        <v>2839</v>
      </c>
      <c r="P1339" s="2" t="str">
        <f ca="1">IFERROR(__xludf.DUMMYFUNCTION("GOOGLETRANSLATE(O1339,""en"",""bn"")"),"সুব্রত দে")</f>
        <v>সুব্রত দে</v>
      </c>
      <c r="Q1339" s="2" t="s">
        <v>1322</v>
      </c>
      <c r="S1339" s="2" t="s">
        <v>1322</v>
      </c>
      <c r="V1339" s="2" t="s">
        <v>2840</v>
      </c>
      <c r="W1339" s="2">
        <v>2</v>
      </c>
    </row>
    <row r="1340" spans="1:23" ht="15.75" customHeight="1" x14ac:dyDescent="0.35">
      <c r="A1340" s="2" t="s">
        <v>23</v>
      </c>
      <c r="L1340" s="2">
        <v>189</v>
      </c>
      <c r="M1340" s="2" t="s">
        <v>223</v>
      </c>
      <c r="O1340" s="2" t="s">
        <v>2841</v>
      </c>
      <c r="P1340" s="2" t="str">
        <f ca="1">IFERROR(__xludf.DUMMYFUNCTION("GOOGLETRANSLATE(O1340,""en"",""bn"")"),"সুরজিৎ মজুমদার")</f>
        <v>সুরজিৎ মজুমদার</v>
      </c>
      <c r="Q1340" s="2" t="s">
        <v>1322</v>
      </c>
      <c r="S1340" s="2" t="s">
        <v>1322</v>
      </c>
      <c r="V1340" s="2" t="s">
        <v>2842</v>
      </c>
      <c r="W1340" s="2">
        <v>2</v>
      </c>
    </row>
    <row r="1341" spans="1:23" ht="15.75" customHeight="1" x14ac:dyDescent="0.35">
      <c r="A1341" s="2" t="s">
        <v>23</v>
      </c>
      <c r="L1341" s="2">
        <v>100</v>
      </c>
      <c r="M1341" s="2" t="s">
        <v>69</v>
      </c>
      <c r="O1341" s="2" t="s">
        <v>2843</v>
      </c>
      <c r="P1341" s="2" t="str">
        <f ca="1">IFERROR(__xludf.DUMMYFUNCTION("GOOGLETRANSLATE(O1341,""en"",""bn"")"),"দেবব্রত দাস")</f>
        <v>দেবব্রত দাস</v>
      </c>
      <c r="Q1341" s="2" t="s">
        <v>1322</v>
      </c>
      <c r="S1341" s="2" t="s">
        <v>1322</v>
      </c>
      <c r="V1341" s="2" t="s">
        <v>2844</v>
      </c>
      <c r="W1341" s="2">
        <v>2</v>
      </c>
    </row>
    <row r="1342" spans="1:23" ht="15.75" customHeight="1" x14ac:dyDescent="0.35">
      <c r="A1342" s="2" t="s">
        <v>23</v>
      </c>
      <c r="L1342" s="2">
        <v>170</v>
      </c>
      <c r="M1342" s="2" t="s">
        <v>438</v>
      </c>
      <c r="O1342" s="2" t="s">
        <v>2845</v>
      </c>
      <c r="P1342" s="2" t="str">
        <f ca="1">IFERROR(__xludf.DUMMYFUNCTION("GOOGLETRANSLATE(O1342,""en"",""bn"")"),"সিসির সামান্তা")</f>
        <v>সিসির সামান্তা</v>
      </c>
      <c r="Q1342" s="2" t="s">
        <v>1322</v>
      </c>
      <c r="S1342" s="2" t="s">
        <v>1322</v>
      </c>
      <c r="V1342" s="2" t="s">
        <v>2846</v>
      </c>
      <c r="W1342" s="2">
        <v>2</v>
      </c>
    </row>
    <row r="1343" spans="1:23" ht="15.75" customHeight="1" x14ac:dyDescent="0.35">
      <c r="A1343" s="2" t="s">
        <v>23</v>
      </c>
      <c r="L1343" s="2">
        <v>95</v>
      </c>
      <c r="M1343" s="2" t="s">
        <v>142</v>
      </c>
      <c r="O1343" s="2" t="s">
        <v>2847</v>
      </c>
      <c r="P1343" s="2" t="str">
        <f ca="1">IFERROR(__xludf.DUMMYFUNCTION("GOOGLETRANSLATE(O1343,""en"",""bn"")"),"সুভাসিস বিশ্বাস")</f>
        <v>সুভাসিস বিশ্বাস</v>
      </c>
      <c r="Q1343" s="2" t="s">
        <v>1322</v>
      </c>
      <c r="S1343" s="2" t="s">
        <v>1322</v>
      </c>
      <c r="V1343" s="2" t="s">
        <v>2848</v>
      </c>
      <c r="W1343" s="2">
        <v>2</v>
      </c>
    </row>
    <row r="1344" spans="1:23" ht="15.75" customHeight="1" x14ac:dyDescent="0.35">
      <c r="A1344" s="2" t="s">
        <v>23</v>
      </c>
      <c r="L1344" s="2">
        <v>89</v>
      </c>
      <c r="M1344" s="2" t="s">
        <v>426</v>
      </c>
      <c r="O1344" s="2" t="s">
        <v>2849</v>
      </c>
      <c r="P1344" s="2" t="str">
        <f ca="1">IFERROR(__xludf.DUMMYFUNCTION("GOOGLETRANSLATE(O1344,""en"",""bn"")"),"মাধব দাস")</f>
        <v>মাধব দাস</v>
      </c>
      <c r="Q1344" s="2" t="s">
        <v>1322</v>
      </c>
      <c r="S1344" s="2" t="s">
        <v>1322</v>
      </c>
      <c r="V1344" s="2" t="s">
        <v>2850</v>
      </c>
      <c r="W1344" s="2">
        <v>2</v>
      </c>
    </row>
    <row r="1345" spans="1:23" ht="15.75" customHeight="1" x14ac:dyDescent="0.35">
      <c r="A1345" s="2" t="s">
        <v>23</v>
      </c>
      <c r="L1345" s="2">
        <v>97</v>
      </c>
      <c r="M1345" s="2" t="s">
        <v>423</v>
      </c>
      <c r="O1345" s="2" t="s">
        <v>2851</v>
      </c>
      <c r="P1345" s="2" t="str">
        <f ca="1">IFERROR(__xludf.DUMMYFUNCTION("GOOGLETRANSLATE(O1345,""en"",""bn"")"),"সুব্রত আধিকারিক")</f>
        <v>সুব্রত আধিকারিক</v>
      </c>
      <c r="Q1345" s="2" t="s">
        <v>1322</v>
      </c>
      <c r="S1345" s="2" t="s">
        <v>1322</v>
      </c>
      <c r="V1345" s="2" t="s">
        <v>2852</v>
      </c>
      <c r="W1345" s="2">
        <v>2</v>
      </c>
    </row>
    <row r="1346" spans="1:23" ht="15.75" customHeight="1" x14ac:dyDescent="0.35">
      <c r="A1346" s="2" t="s">
        <v>23</v>
      </c>
      <c r="L1346" s="2">
        <v>134</v>
      </c>
      <c r="M1346" s="2" t="s">
        <v>274</v>
      </c>
      <c r="O1346" s="2" t="s">
        <v>2853</v>
      </c>
      <c r="P1346" s="2" t="str">
        <f ca="1">IFERROR(__xludf.DUMMYFUNCTION("GOOGLETRANSLATE(O1346,""en"",""bn"")"),"পলাশ হালদার")</f>
        <v>পলাশ হালদার</v>
      </c>
      <c r="Q1346" s="2" t="s">
        <v>1322</v>
      </c>
      <c r="S1346" s="2" t="s">
        <v>1322</v>
      </c>
      <c r="V1346" s="2" t="s">
        <v>2854</v>
      </c>
      <c r="W1346" s="2">
        <v>2</v>
      </c>
    </row>
    <row r="1347" spans="1:23" ht="15.75" customHeight="1" x14ac:dyDescent="0.35">
      <c r="A1347" s="2" t="s">
        <v>23</v>
      </c>
      <c r="L1347" s="2">
        <v>85</v>
      </c>
      <c r="M1347" s="2" t="s">
        <v>387</v>
      </c>
      <c r="O1347" s="2" t="s">
        <v>2855</v>
      </c>
      <c r="P1347" s="2" t="str">
        <f ca="1">IFERROR(__xludf.DUMMYFUNCTION("GOOGLETRANSLATE(O1347,""en"",""bn"")"),"সঞ্জু ঘোষ")</f>
        <v>সঞ্জু ঘোষ</v>
      </c>
      <c r="Q1347" s="2" t="s">
        <v>1322</v>
      </c>
      <c r="S1347" s="2" t="s">
        <v>1322</v>
      </c>
      <c r="V1347" s="2" t="s">
        <v>2856</v>
      </c>
      <c r="W1347" s="2">
        <v>2</v>
      </c>
    </row>
    <row r="1348" spans="1:23" ht="15.75" customHeight="1" x14ac:dyDescent="0.35">
      <c r="A1348" s="2" t="s">
        <v>23</v>
      </c>
      <c r="L1348" s="2">
        <v>107</v>
      </c>
      <c r="M1348" s="2" t="s">
        <v>32</v>
      </c>
      <c r="O1348" s="2" t="s">
        <v>2857</v>
      </c>
      <c r="P1348" s="2" t="str">
        <f ca="1">IFERROR(__xludf.DUMMYFUNCTION("GOOGLETRANSLATE(O1348,""en"",""bn"")"),"বিকাশ কুমার রাম")</f>
        <v>বিকাশ কুমার রাম</v>
      </c>
      <c r="Q1348" s="2" t="s">
        <v>1322</v>
      </c>
      <c r="S1348" s="2" t="s">
        <v>1322</v>
      </c>
      <c r="V1348" s="2" t="s">
        <v>2858</v>
      </c>
      <c r="W1348" s="2">
        <v>2</v>
      </c>
    </row>
    <row r="1349" spans="1:23" ht="15.75" customHeight="1" x14ac:dyDescent="0.35">
      <c r="A1349" s="2" t="s">
        <v>23</v>
      </c>
      <c r="L1349" s="2">
        <v>106</v>
      </c>
      <c r="M1349" s="2" t="s">
        <v>283</v>
      </c>
      <c r="O1349" s="2" t="s">
        <v>2859</v>
      </c>
      <c r="P1349" s="2" t="str">
        <f ca="1">IFERROR(__xludf.DUMMYFUNCTION("GOOGLETRANSLATE(O1349,""en"",""bn"")"),"শর্মিষ্ঠা দাস")</f>
        <v>শর্মিষ্ঠা দাস</v>
      </c>
      <c r="Q1349" s="2" t="s">
        <v>1322</v>
      </c>
      <c r="S1349" s="2" t="s">
        <v>1322</v>
      </c>
      <c r="V1349" s="2" t="s">
        <v>2860</v>
      </c>
      <c r="W1349" s="2">
        <v>2</v>
      </c>
    </row>
    <row r="1350" spans="1:23" ht="15.75" customHeight="1" x14ac:dyDescent="0.35">
      <c r="A1350" s="2" t="s">
        <v>23</v>
      </c>
      <c r="L1350" s="2">
        <v>102</v>
      </c>
      <c r="M1350" s="2" t="s">
        <v>169</v>
      </c>
      <c r="O1350" s="2" t="s">
        <v>2861</v>
      </c>
      <c r="P1350" s="2" t="str">
        <f ca="1">IFERROR(__xludf.DUMMYFUNCTION("GOOGLETRANSLATE(O1350,""en"",""bn"")"),"আসাদুল")</f>
        <v>আসাদুল</v>
      </c>
      <c r="Q1350" s="2" t="s">
        <v>1322</v>
      </c>
      <c r="S1350" s="2" t="s">
        <v>1322</v>
      </c>
      <c r="V1350" s="2" t="s">
        <v>2862</v>
      </c>
      <c r="W1350" s="2">
        <v>2</v>
      </c>
    </row>
    <row r="1351" spans="1:23" ht="15.75" customHeight="1" x14ac:dyDescent="0.35">
      <c r="A1351" s="2" t="s">
        <v>23</v>
      </c>
      <c r="L1351" s="2">
        <v>88</v>
      </c>
      <c r="M1351" s="2" t="s">
        <v>306</v>
      </c>
      <c r="O1351" s="2" t="s">
        <v>2863</v>
      </c>
      <c r="P1351" s="2" t="str">
        <f ca="1">IFERROR(__xludf.DUMMYFUNCTION("GOOGLETRANSLATE(O1351,""en"",""bn"")"),"রথিন বারাই")</f>
        <v>রথিন বারাই</v>
      </c>
      <c r="Q1351" s="2" t="s">
        <v>1322</v>
      </c>
      <c r="S1351" s="2" t="s">
        <v>1322</v>
      </c>
      <c r="V1351" s="2" t="s">
        <v>2864</v>
      </c>
      <c r="W1351" s="2">
        <v>2</v>
      </c>
    </row>
    <row r="1352" spans="1:23" ht="15.75" customHeight="1" x14ac:dyDescent="0.35">
      <c r="A1352" s="2" t="s">
        <v>23</v>
      </c>
      <c r="L1352" s="2">
        <v>136</v>
      </c>
      <c r="M1352" s="2" t="s">
        <v>43</v>
      </c>
      <c r="O1352" s="2" t="s">
        <v>2865</v>
      </c>
      <c r="P1352" s="2" t="str">
        <f ca="1">IFERROR(__xludf.DUMMYFUNCTION("GOOGLETRANSLATE(O1352,""en"",""bn"")"),"বিধান চন্দ্র মালিক")</f>
        <v>বিধান চন্দ্র মালিক</v>
      </c>
      <c r="Q1352" s="2" t="s">
        <v>1322</v>
      </c>
      <c r="S1352" s="2" t="s">
        <v>1322</v>
      </c>
      <c r="V1352" s="2" t="s">
        <v>2866</v>
      </c>
      <c r="W1352" s="2">
        <v>2</v>
      </c>
    </row>
    <row r="1353" spans="1:23" ht="15.75" customHeight="1" x14ac:dyDescent="0.35">
      <c r="A1353" s="2" t="s">
        <v>23</v>
      </c>
      <c r="L1353" s="2">
        <v>159</v>
      </c>
      <c r="M1353" s="2" t="s">
        <v>157</v>
      </c>
      <c r="O1353" s="2" t="s">
        <v>2867</v>
      </c>
      <c r="P1353" s="2" t="str">
        <f ca="1">IFERROR(__xludf.DUMMYFUNCTION("GOOGLETRANSLATE(O1353,""en"",""bn"")"),"এসকে সাফি আহমেদ")</f>
        <v>এসকে সাফি আহমেদ</v>
      </c>
      <c r="Q1353" s="2" t="s">
        <v>1322</v>
      </c>
      <c r="S1353" s="2" t="s">
        <v>1322</v>
      </c>
      <c r="V1353" s="2" t="s">
        <v>2868</v>
      </c>
      <c r="W1353" s="2">
        <v>2</v>
      </c>
    </row>
    <row r="1354" spans="1:23" ht="15.75" customHeight="1" x14ac:dyDescent="0.35">
      <c r="A1354" s="2" t="s">
        <v>23</v>
      </c>
      <c r="L1354" s="2">
        <v>119</v>
      </c>
      <c r="M1354" s="2" t="s">
        <v>327</v>
      </c>
      <c r="O1354" s="2" t="s">
        <v>2869</v>
      </c>
      <c r="P1354" s="2" t="str">
        <f ca="1">IFERROR(__xludf.DUMMYFUNCTION("GOOGLETRANSLATE(O1354,""en"",""bn"")"),"শঙ্কর চ্যাটার্জী")</f>
        <v>শঙ্কর চ্যাটার্জী</v>
      </c>
      <c r="Q1354" s="2" t="s">
        <v>1322</v>
      </c>
      <c r="S1354" s="2" t="s">
        <v>1322</v>
      </c>
      <c r="V1354" s="2" t="s">
        <v>2870</v>
      </c>
      <c r="W1354" s="2">
        <v>2</v>
      </c>
    </row>
    <row r="1355" spans="1:23" ht="15.75" customHeight="1" x14ac:dyDescent="0.35">
      <c r="A1355" s="2" t="s">
        <v>23</v>
      </c>
      <c r="L1355" s="2">
        <v>148</v>
      </c>
      <c r="M1355" s="2" t="s">
        <v>408</v>
      </c>
      <c r="O1355" s="2" t="s">
        <v>2871</v>
      </c>
      <c r="P1355" s="2" t="str">
        <f ca="1">IFERROR(__xludf.DUMMYFUNCTION("GOOGLETRANSLATE(O1355,""en"",""bn"")"),"করিমুল মোল্লা")</f>
        <v>করিমুল মোল্লা</v>
      </c>
      <c r="Q1355" s="2" t="s">
        <v>1322</v>
      </c>
      <c r="S1355" s="2" t="s">
        <v>1322</v>
      </c>
      <c r="V1355" s="2" t="s">
        <v>2872</v>
      </c>
      <c r="W1355" s="2">
        <v>2</v>
      </c>
    </row>
    <row r="1356" spans="1:23" ht="15.75" customHeight="1" x14ac:dyDescent="0.35">
      <c r="A1356" s="2" t="s">
        <v>23</v>
      </c>
      <c r="L1356" s="2">
        <v>111</v>
      </c>
      <c r="M1356" s="2" t="s">
        <v>369</v>
      </c>
      <c r="O1356" s="2" t="s">
        <v>2873</v>
      </c>
      <c r="P1356" s="2" t="str">
        <f ca="1">IFERROR(__xludf.DUMMYFUNCTION("GOOGLETRANSLATE(O1356,""en"",""bn"")"),"সাধনা চক্রবর্তী")</f>
        <v>সাধনা চক্রবর্তী</v>
      </c>
      <c r="Q1356" s="2" t="s">
        <v>1322</v>
      </c>
      <c r="S1356" s="2" t="s">
        <v>1322</v>
      </c>
      <c r="V1356" s="2" t="s">
        <v>2874</v>
      </c>
      <c r="W1356" s="2">
        <v>2</v>
      </c>
    </row>
    <row r="1357" spans="1:23" ht="15.75" customHeight="1" x14ac:dyDescent="0.35">
      <c r="A1357" s="2" t="s">
        <v>23</v>
      </c>
      <c r="L1357" s="2">
        <v>169</v>
      </c>
      <c r="M1357" s="2" t="s">
        <v>90</v>
      </c>
      <c r="O1357" s="2" t="s">
        <v>2875</v>
      </c>
      <c r="P1357" s="2" t="str">
        <f ca="1">IFERROR(__xludf.DUMMYFUNCTION("GOOGLETRANSLATE(O1357,""en"",""bn"")"),"রূপালী সরকার")</f>
        <v>রূপালী সরকার</v>
      </c>
      <c r="Q1357" s="2" t="s">
        <v>1322</v>
      </c>
      <c r="S1357" s="2" t="s">
        <v>1322</v>
      </c>
      <c r="V1357" s="2" t="s">
        <v>2876</v>
      </c>
      <c r="W1357" s="2">
        <v>2</v>
      </c>
    </row>
    <row r="1358" spans="1:23" ht="15.75" customHeight="1" x14ac:dyDescent="0.35">
      <c r="A1358" s="2" t="s">
        <v>23</v>
      </c>
      <c r="L1358" s="2">
        <v>93</v>
      </c>
      <c r="M1358" s="2" t="s">
        <v>187</v>
      </c>
      <c r="O1358" s="2" t="s">
        <v>2877</v>
      </c>
      <c r="P1358" s="2" t="str">
        <f ca="1">IFERROR(__xludf.DUMMYFUNCTION("GOOGLETRANSLATE(O1358,""en"",""bn"")"),"রূপম মন্ডল")</f>
        <v>রূপম মন্ডল</v>
      </c>
      <c r="Q1358" s="2" t="s">
        <v>1322</v>
      </c>
      <c r="S1358" s="2" t="s">
        <v>1322</v>
      </c>
      <c r="V1358" s="2" t="s">
        <v>2878</v>
      </c>
      <c r="W1358" s="2">
        <v>2</v>
      </c>
    </row>
    <row r="1359" spans="1:23" ht="15.75" customHeight="1" x14ac:dyDescent="0.35">
      <c r="A1359" s="2" t="s">
        <v>23</v>
      </c>
      <c r="L1359" s="2">
        <v>124</v>
      </c>
      <c r="M1359" s="2" t="s">
        <v>190</v>
      </c>
      <c r="O1359" s="2" t="s">
        <v>2879</v>
      </c>
      <c r="P1359" s="2" t="str">
        <f ca="1">IFERROR(__xludf.DUMMYFUNCTION("GOOGLETRANSLATE(O1359,""en"",""bn"")"),"সৌমেন দাস")</f>
        <v>সৌমেন দাস</v>
      </c>
      <c r="Q1359" s="2" t="s">
        <v>1322</v>
      </c>
      <c r="S1359" s="2" t="s">
        <v>1322</v>
      </c>
      <c r="V1359" s="2" t="s">
        <v>2880</v>
      </c>
      <c r="W1359" s="2">
        <v>2</v>
      </c>
    </row>
    <row r="1360" spans="1:23" ht="15.75" customHeight="1" x14ac:dyDescent="0.35">
      <c r="A1360" s="2" t="s">
        <v>23</v>
      </c>
      <c r="L1360" s="2">
        <v>103</v>
      </c>
      <c r="M1360" s="2" t="s">
        <v>199</v>
      </c>
      <c r="O1360" s="2" t="s">
        <v>2881</v>
      </c>
      <c r="P1360" s="2" t="str">
        <f ca="1">IFERROR(__xludf.DUMMYFUNCTION("GOOGLETRANSLATE(O1360,""en"",""bn"")"),"সজল কর্মকার")</f>
        <v>সজল কর্মকার</v>
      </c>
      <c r="Q1360" s="2" t="s">
        <v>1322</v>
      </c>
      <c r="S1360" s="2" t="s">
        <v>1322</v>
      </c>
      <c r="V1360" s="2" t="s">
        <v>2882</v>
      </c>
      <c r="W1360" s="2">
        <v>2</v>
      </c>
    </row>
    <row r="1361" spans="1:23" ht="15.75" customHeight="1" x14ac:dyDescent="0.35">
      <c r="A1361" s="2" t="s">
        <v>23</v>
      </c>
      <c r="L1361" s="2">
        <v>171</v>
      </c>
      <c r="M1361" s="2" t="s">
        <v>87</v>
      </c>
      <c r="O1361" s="2" t="s">
        <v>2883</v>
      </c>
      <c r="P1361" s="2" t="str">
        <f ca="1">IFERROR(__xludf.DUMMYFUNCTION("GOOGLETRANSLATE(O1361,""en"",""bn"")"),"দেবাশিস ঘোরুই")</f>
        <v>দেবাশিস ঘোরুই</v>
      </c>
      <c r="Q1361" s="2" t="s">
        <v>1322</v>
      </c>
      <c r="S1361" s="2" t="s">
        <v>1322</v>
      </c>
      <c r="V1361" s="2" t="s">
        <v>2884</v>
      </c>
      <c r="W1361" s="2">
        <v>2</v>
      </c>
    </row>
    <row r="1362" spans="1:23" ht="15.75" customHeight="1" x14ac:dyDescent="0.35">
      <c r="A1362" s="2" t="s">
        <v>23</v>
      </c>
      <c r="L1362" s="2">
        <v>157</v>
      </c>
      <c r="M1362" s="2" t="s">
        <v>36</v>
      </c>
      <c r="O1362" s="2" t="s">
        <v>2885</v>
      </c>
      <c r="P1362" s="2" t="str">
        <f ca="1">IFERROR(__xludf.DUMMYFUNCTION("GOOGLETRANSLATE(O1362,""en"",""bn"")"),"এসকে মনিরুল ইসলাম")</f>
        <v>এসকে মনিরুল ইসলাম</v>
      </c>
      <c r="Q1362" s="2" t="s">
        <v>1322</v>
      </c>
      <c r="S1362" s="2" t="s">
        <v>1322</v>
      </c>
      <c r="V1362" s="2" t="s">
        <v>2886</v>
      </c>
      <c r="W1362" s="2">
        <v>2</v>
      </c>
    </row>
    <row r="1363" spans="1:23" ht="15.75" customHeight="1" x14ac:dyDescent="0.35">
      <c r="A1363" s="2" t="s">
        <v>23</v>
      </c>
      <c r="L1363" s="2">
        <v>179</v>
      </c>
      <c r="M1363" s="2" t="s">
        <v>435</v>
      </c>
      <c r="O1363" s="2" t="s">
        <v>2887</v>
      </c>
      <c r="P1363" s="2" t="str">
        <f ca="1">IFERROR(__xludf.DUMMYFUNCTION("GOOGLETRANSLATE(O1363,""en"",""bn"")"),"এসকে মাহবুব")</f>
        <v>এসকে মাহবুব</v>
      </c>
      <c r="Q1363" s="2" t="s">
        <v>1322</v>
      </c>
      <c r="S1363" s="2" t="s">
        <v>1322</v>
      </c>
      <c r="V1363" s="2" t="s">
        <v>2888</v>
      </c>
      <c r="W1363" s="2">
        <v>2</v>
      </c>
    </row>
    <row r="1364" spans="1:23" ht="15.75" customHeight="1" x14ac:dyDescent="0.35">
      <c r="A1364" s="2" t="s">
        <v>23</v>
      </c>
      <c r="L1364" s="2">
        <v>142</v>
      </c>
      <c r="M1364" s="2" t="s">
        <v>414</v>
      </c>
      <c r="O1364" s="2" t="s">
        <v>2889</v>
      </c>
      <c r="P1364" s="2" t="str">
        <f ca="1">IFERROR(__xludf.DUMMYFUNCTION("GOOGLETRANSLATE(O1364,""en"",""bn"")"),"বিশ্বজিৎ প্রমাণিক")</f>
        <v>বিশ্বজিৎ প্রমাণিক</v>
      </c>
      <c r="Q1364" s="2" t="s">
        <v>1322</v>
      </c>
      <c r="S1364" s="2" t="s">
        <v>1322</v>
      </c>
      <c r="V1364" s="2" t="s">
        <v>2890</v>
      </c>
      <c r="W1364" s="2">
        <v>2</v>
      </c>
    </row>
    <row r="1365" spans="1:23" ht="15.75" customHeight="1" x14ac:dyDescent="0.35">
      <c r="A1365" s="2" t="s">
        <v>23</v>
      </c>
      <c r="L1365" s="2">
        <v>131</v>
      </c>
      <c r="M1365" s="2" t="s">
        <v>130</v>
      </c>
      <c r="O1365" s="2" t="s">
        <v>2891</v>
      </c>
      <c r="P1365" s="2" t="str">
        <f ca="1">IFERROR(__xludf.DUMMYFUNCTION("GOOGLETRANSLATE(O1365,""en"",""bn"")"),"সৌভিক ঘোষ")</f>
        <v>সৌভিক ঘোষ</v>
      </c>
      <c r="Q1365" s="2" t="s">
        <v>1322</v>
      </c>
      <c r="S1365" s="2" t="s">
        <v>1322</v>
      </c>
      <c r="V1365" s="2" t="s">
        <v>2892</v>
      </c>
      <c r="W1365" s="2">
        <v>2</v>
      </c>
    </row>
    <row r="1366" spans="1:23" ht="15.75" customHeight="1" x14ac:dyDescent="0.35">
      <c r="A1366" s="2" t="s">
        <v>23</v>
      </c>
      <c r="L1366" s="2">
        <v>166</v>
      </c>
      <c r="M1366" s="2" t="s">
        <v>247</v>
      </c>
      <c r="O1366" s="2" t="s">
        <v>2893</v>
      </c>
      <c r="P1366" s="2" t="str">
        <f ca="1">IFERROR(__xludf.DUMMYFUNCTION("GOOGLETRANSLATE(O1366,""en"",""bn"")"),"সঞ্জয় বাগারিয়া")</f>
        <v>সঞ্জয় বাগারিয়া</v>
      </c>
      <c r="Q1366" s="2" t="s">
        <v>1322</v>
      </c>
      <c r="S1366" s="2" t="s">
        <v>1322</v>
      </c>
      <c r="V1366" s="2" t="s">
        <v>2894</v>
      </c>
      <c r="W1366" s="2">
        <v>2</v>
      </c>
    </row>
    <row r="1367" spans="1:23" ht="15.75" customHeight="1" x14ac:dyDescent="0.35">
      <c r="A1367" s="2" t="s">
        <v>23</v>
      </c>
      <c r="L1367" s="2">
        <v>152</v>
      </c>
      <c r="M1367" s="2" t="s">
        <v>450</v>
      </c>
      <c r="O1367" s="2" t="s">
        <v>2895</v>
      </c>
      <c r="P1367" s="2" t="str">
        <f ca="1">IFERROR(__xludf.DUMMYFUNCTION("GOOGLETRANSLATE(O1367,""en"",""bn"")"),"রূপা বিশ্বাস")</f>
        <v>রূপা বিশ্বাস</v>
      </c>
      <c r="Q1367" s="2" t="s">
        <v>1322</v>
      </c>
      <c r="S1367" s="2" t="s">
        <v>1322</v>
      </c>
      <c r="V1367" s="2" t="s">
        <v>2896</v>
      </c>
      <c r="W1367" s="2">
        <v>2</v>
      </c>
    </row>
    <row r="1368" spans="1:23" ht="15.75" customHeight="1" x14ac:dyDescent="0.35">
      <c r="A1368" s="2" t="s">
        <v>23</v>
      </c>
      <c r="L1368" s="2">
        <v>100</v>
      </c>
      <c r="M1368" s="2" t="s">
        <v>69</v>
      </c>
      <c r="O1368" s="2" t="s">
        <v>2897</v>
      </c>
      <c r="P1368" s="2" t="str">
        <f ca="1">IFERROR(__xludf.DUMMYFUNCTION("GOOGLETRANSLATE(O1368,""en"",""bn"")"),"শফিক আলী")</f>
        <v>শফিক আলী</v>
      </c>
      <c r="Q1368" s="2" t="s">
        <v>1322</v>
      </c>
      <c r="S1368" s="2" t="s">
        <v>1322</v>
      </c>
      <c r="V1368" s="2" t="s">
        <v>2898</v>
      </c>
      <c r="W1368" s="2">
        <v>2</v>
      </c>
    </row>
    <row r="1369" spans="1:23" ht="15.75" customHeight="1" x14ac:dyDescent="0.35">
      <c r="A1369" s="2" t="s">
        <v>23</v>
      </c>
      <c r="L1369" s="2">
        <v>149</v>
      </c>
      <c r="M1369" s="2" t="s">
        <v>51</v>
      </c>
      <c r="O1369" s="2" t="s">
        <v>2899</v>
      </c>
      <c r="P1369" s="2" t="str">
        <f ca="1">IFERROR(__xludf.DUMMYFUNCTION("GOOGLETRANSLATE(O1369,""en"",""bn"")"),"প্রদ্যোত কুমার সুর")</f>
        <v>প্রদ্যোত কুমার সুর</v>
      </c>
      <c r="Q1369" s="2" t="s">
        <v>1322</v>
      </c>
      <c r="S1369" s="2" t="s">
        <v>1322</v>
      </c>
      <c r="V1369" s="2" t="s">
        <v>2900</v>
      </c>
      <c r="W1369" s="2">
        <v>2</v>
      </c>
    </row>
    <row r="1370" spans="1:23" ht="15.75" customHeight="1" x14ac:dyDescent="0.35">
      <c r="A1370" s="2" t="s">
        <v>23</v>
      </c>
      <c r="L1370" s="2">
        <v>102</v>
      </c>
      <c r="M1370" s="2" t="s">
        <v>169</v>
      </c>
      <c r="O1370" s="2" t="s">
        <v>2901</v>
      </c>
      <c r="P1370" s="2" t="str">
        <f ca="1">IFERROR(__xludf.DUMMYFUNCTION("GOOGLETRANSLATE(O1370,""en"",""bn"")"),"এস. মুক্তার আহমেদ")</f>
        <v>এস. মুক্তার আহমেদ</v>
      </c>
      <c r="Q1370" s="2" t="s">
        <v>1322</v>
      </c>
      <c r="S1370" s="2" t="s">
        <v>1322</v>
      </c>
      <c r="V1370" s="2" t="s">
        <v>2902</v>
      </c>
      <c r="W1370" s="2">
        <v>2</v>
      </c>
    </row>
    <row r="1371" spans="1:23" ht="15.75" customHeight="1" x14ac:dyDescent="0.35">
      <c r="A1371" s="2" t="s">
        <v>23</v>
      </c>
      <c r="L1371" s="2">
        <v>147</v>
      </c>
      <c r="M1371" s="2" t="s">
        <v>265</v>
      </c>
      <c r="O1371" s="2" t="s">
        <v>2903</v>
      </c>
      <c r="P1371" s="2" t="str">
        <f ca="1">IFERROR(__xludf.DUMMYFUNCTION("GOOGLETRANSLATE(O1371,""en"",""bn"")"),"রজন্য হালদার (সারা)")</f>
        <v>রজন্য হালদার (সারা)</v>
      </c>
      <c r="Q1371" s="2" t="s">
        <v>1322</v>
      </c>
      <c r="S1371" s="2" t="s">
        <v>1322</v>
      </c>
      <c r="V1371" s="2" t="s">
        <v>2904</v>
      </c>
      <c r="W1371" s="2">
        <v>2</v>
      </c>
    </row>
    <row r="1372" spans="1:23" ht="15.75" customHeight="1" x14ac:dyDescent="0.35">
      <c r="A1372" s="2" t="s">
        <v>23</v>
      </c>
      <c r="L1372" s="2">
        <v>165</v>
      </c>
      <c r="M1372" s="2" t="s">
        <v>390</v>
      </c>
      <c r="O1372" s="2" t="s">
        <v>2905</v>
      </c>
      <c r="P1372" s="2" t="str">
        <f ca="1">IFERROR(__xludf.DUMMYFUNCTION("GOOGLETRANSLATE(O1372,""en"",""bn"")"),"প্রীতম সিং")</f>
        <v>প্রীতম সিং</v>
      </c>
      <c r="Q1372" s="2" t="s">
        <v>1322</v>
      </c>
      <c r="S1372" s="2" t="s">
        <v>1322</v>
      </c>
      <c r="V1372" s="2" t="s">
        <v>2906</v>
      </c>
      <c r="W1372" s="2">
        <v>2</v>
      </c>
    </row>
    <row r="1373" spans="1:23" ht="15.75" customHeight="1" x14ac:dyDescent="0.35">
      <c r="A1373" s="2" t="s">
        <v>23</v>
      </c>
      <c r="L1373" s="2">
        <v>148</v>
      </c>
      <c r="M1373" s="2" t="s">
        <v>408</v>
      </c>
      <c r="O1373" s="2" t="s">
        <v>2907</v>
      </c>
      <c r="P1373" s="2" t="str">
        <f ca="1">IFERROR(__xludf.DUMMYFUNCTION("GOOGLETRANSLATE(O1373,""en"",""bn"")"),"নাওসান মোল্লা")</f>
        <v>নাওসান মোল্লা</v>
      </c>
      <c r="Q1373" s="2" t="s">
        <v>1322</v>
      </c>
      <c r="S1373" s="2" t="s">
        <v>1322</v>
      </c>
      <c r="V1373" s="2" t="s">
        <v>2908</v>
      </c>
      <c r="W1373" s="2">
        <v>2</v>
      </c>
    </row>
    <row r="1374" spans="1:23" ht="15.75" customHeight="1" x14ac:dyDescent="0.35">
      <c r="A1374" s="2" t="s">
        <v>23</v>
      </c>
      <c r="L1374" s="2">
        <v>136</v>
      </c>
      <c r="M1374" s="2" t="s">
        <v>43</v>
      </c>
      <c r="O1374" s="2" t="s">
        <v>2909</v>
      </c>
      <c r="P1374" s="2" t="str">
        <f ca="1">IFERROR(__xludf.DUMMYFUNCTION("GOOGLETRANSLATE(O1374,""en"",""bn"")"),"রাম কুমার")</f>
        <v>রাম কুমার</v>
      </c>
      <c r="Q1374" s="2" t="s">
        <v>1322</v>
      </c>
      <c r="S1374" s="2" t="s">
        <v>1322</v>
      </c>
      <c r="V1374" s="2" t="s">
        <v>2910</v>
      </c>
      <c r="W1374" s="2">
        <v>2</v>
      </c>
    </row>
    <row r="1375" spans="1:23" ht="15.75" customHeight="1" x14ac:dyDescent="0.35">
      <c r="A1375" s="2" t="s">
        <v>23</v>
      </c>
      <c r="L1375" s="2">
        <v>115</v>
      </c>
      <c r="M1375" s="2" t="s">
        <v>84</v>
      </c>
      <c r="O1375" s="2" t="s">
        <v>2911</v>
      </c>
      <c r="P1375" s="2" t="str">
        <f ca="1">IFERROR(__xludf.DUMMYFUNCTION("GOOGLETRANSLATE(O1375,""en"",""bn"")"),"রাজিব সরকার")</f>
        <v>রাজিব সরকার</v>
      </c>
      <c r="Q1375" s="2" t="s">
        <v>1322</v>
      </c>
      <c r="S1375" s="2" t="s">
        <v>1322</v>
      </c>
      <c r="V1375" s="2" t="s">
        <v>2912</v>
      </c>
      <c r="W1375" s="2">
        <v>2</v>
      </c>
    </row>
    <row r="1376" spans="1:23" ht="15.75" customHeight="1" x14ac:dyDescent="0.35">
      <c r="A1376" s="2" t="s">
        <v>23</v>
      </c>
      <c r="L1376" s="2">
        <v>120</v>
      </c>
      <c r="M1376" s="2" t="s">
        <v>309</v>
      </c>
      <c r="O1376" s="2" t="s">
        <v>2913</v>
      </c>
      <c r="P1376" s="2" t="str">
        <f ca="1">IFERROR(__xludf.DUMMYFUNCTION("GOOGLETRANSLATE(O1376,""en"",""bn"")"),"মাসিদুল সাহাজি")</f>
        <v>মাসিদুল সাহাজি</v>
      </c>
      <c r="Q1376" s="2" t="s">
        <v>1322</v>
      </c>
      <c r="S1376" s="2" t="s">
        <v>1322</v>
      </c>
      <c r="V1376" s="2" t="s">
        <v>2914</v>
      </c>
      <c r="W1376" s="2">
        <v>2</v>
      </c>
    </row>
    <row r="1377" spans="1:23" ht="15.75" customHeight="1" x14ac:dyDescent="0.35">
      <c r="A1377" s="2" t="s">
        <v>23</v>
      </c>
      <c r="L1377" s="2">
        <v>184</v>
      </c>
      <c r="M1377" s="2" t="s">
        <v>60</v>
      </c>
      <c r="O1377" s="2" t="s">
        <v>2915</v>
      </c>
      <c r="P1377" s="2" t="str">
        <f ca="1">IFERROR(__xludf.DUMMYFUNCTION("GOOGLETRANSLATE(O1377,""en"",""bn"")"),"দিব্যেন্দু ঘোষ")</f>
        <v>দিব্যেন্দু ঘোষ</v>
      </c>
      <c r="Q1377" s="2" t="s">
        <v>1322</v>
      </c>
      <c r="S1377" s="2" t="s">
        <v>1322</v>
      </c>
      <c r="V1377" s="2" t="s">
        <v>2916</v>
      </c>
      <c r="W1377" s="2">
        <v>2</v>
      </c>
    </row>
    <row r="1378" spans="1:23" ht="15.75" customHeight="1" x14ac:dyDescent="0.35">
      <c r="A1378" s="2" t="s">
        <v>23</v>
      </c>
      <c r="L1378" s="2">
        <v>154</v>
      </c>
      <c r="M1378" s="2" t="s">
        <v>136</v>
      </c>
      <c r="O1378" s="2" t="s">
        <v>2917</v>
      </c>
      <c r="P1378" s="2" t="str">
        <f ca="1">IFERROR(__xludf.DUMMYFUNCTION("GOOGLETRANSLATE(O1378,""en"",""bn"")"),"রত্না বৈঠা")</f>
        <v>রত্না বৈঠা</v>
      </c>
      <c r="Q1378" s="2" t="s">
        <v>1322</v>
      </c>
      <c r="S1378" s="2" t="s">
        <v>1322</v>
      </c>
      <c r="V1378" s="2" t="s">
        <v>2918</v>
      </c>
      <c r="W1378" s="2">
        <v>2</v>
      </c>
    </row>
    <row r="1379" spans="1:23" ht="15.75" customHeight="1" x14ac:dyDescent="0.35">
      <c r="A1379" s="2" t="s">
        <v>23</v>
      </c>
      <c r="L1379" s="2">
        <v>99</v>
      </c>
      <c r="M1379" s="2" t="s">
        <v>268</v>
      </c>
      <c r="O1379" s="2" t="s">
        <v>2919</v>
      </c>
      <c r="P1379" s="2" t="str">
        <f ca="1">IFERROR(__xludf.DUMMYFUNCTION("GOOGLETRANSLATE(O1379,""en"",""bn"")"),"বেডোরা বিবি")</f>
        <v>বেডোরা বিবি</v>
      </c>
      <c r="Q1379" s="2" t="s">
        <v>1322</v>
      </c>
      <c r="S1379" s="2" t="s">
        <v>1322</v>
      </c>
      <c r="V1379" s="2" t="s">
        <v>2920</v>
      </c>
      <c r="W1379" s="2">
        <v>2</v>
      </c>
    </row>
    <row r="1380" spans="1:23" ht="15.75" customHeight="1" x14ac:dyDescent="0.35">
      <c r="A1380" s="2" t="s">
        <v>23</v>
      </c>
      <c r="L1380" s="2">
        <v>170</v>
      </c>
      <c r="M1380" s="2" t="s">
        <v>438</v>
      </c>
      <c r="O1380" s="2" t="s">
        <v>2921</v>
      </c>
      <c r="P1380" s="2" t="s">
        <v>3057</v>
      </c>
      <c r="Q1380" s="2" t="s">
        <v>1322</v>
      </c>
      <c r="S1380" s="2" t="s">
        <v>1322</v>
      </c>
      <c r="V1380" s="2" t="s">
        <v>2922</v>
      </c>
      <c r="W1380" s="2">
        <v>2</v>
      </c>
    </row>
    <row r="1381" spans="1:23" ht="15.75" customHeight="1" x14ac:dyDescent="0.35">
      <c r="A1381" s="2" t="s">
        <v>23</v>
      </c>
      <c r="L1381" s="2">
        <v>103</v>
      </c>
      <c r="M1381" s="2" t="s">
        <v>199</v>
      </c>
      <c r="O1381" s="2" t="s">
        <v>2923</v>
      </c>
      <c r="P1381" s="2" t="str">
        <f ca="1">IFERROR(__xludf.DUMMYFUNCTION("GOOGLETRANSLATE(O1381,""en"",""bn"")"),"সুদীপ্ত চন্দ")</f>
        <v>সুদীপ্ত চন্দ</v>
      </c>
      <c r="Q1381" s="2" t="s">
        <v>1322</v>
      </c>
      <c r="S1381" s="2" t="s">
        <v>1322</v>
      </c>
      <c r="V1381" s="2" t="s">
        <v>2924</v>
      </c>
      <c r="W1381" s="2">
        <v>2</v>
      </c>
    </row>
    <row r="1382" spans="1:23" ht="15.75" customHeight="1" x14ac:dyDescent="0.35">
      <c r="A1382" s="2" t="s">
        <v>23</v>
      </c>
      <c r="L1382" s="2">
        <v>153</v>
      </c>
      <c r="M1382" s="2" t="s">
        <v>345</v>
      </c>
      <c r="O1382" s="2" t="s">
        <v>2925</v>
      </c>
      <c r="P1382" s="2" t="str">
        <f ca="1">IFERROR(__xludf.DUMMYFUNCTION("GOOGLETRANSLATE(O1382,""en"",""bn"")"),"সুভাষিস কর")</f>
        <v>সুভাষিস কর</v>
      </c>
      <c r="Q1382" s="2" t="s">
        <v>1322</v>
      </c>
      <c r="S1382" s="2" t="s">
        <v>1322</v>
      </c>
      <c r="V1382" s="2" t="s">
        <v>2926</v>
      </c>
      <c r="W1382" s="2">
        <v>2</v>
      </c>
    </row>
    <row r="1383" spans="1:23" ht="15.75" customHeight="1" x14ac:dyDescent="0.35">
      <c r="A1383" s="2" t="s">
        <v>23</v>
      </c>
      <c r="L1383" s="2">
        <v>151</v>
      </c>
      <c r="M1383" s="2" t="s">
        <v>81</v>
      </c>
      <c r="O1383" s="2" t="s">
        <v>2927</v>
      </c>
      <c r="P1383" s="2" t="str">
        <f ca="1">IFERROR(__xludf.DUMMYFUNCTION("GOOGLETRANSLATE(O1383,""en"",""bn"")"),"সরস্বতী মন্ডল")</f>
        <v>সরস্বতী মন্ডল</v>
      </c>
      <c r="Q1383" s="2" t="s">
        <v>1322</v>
      </c>
      <c r="S1383" s="2" t="s">
        <v>1322</v>
      </c>
      <c r="V1383" s="2" t="s">
        <v>2928</v>
      </c>
      <c r="W1383" s="2">
        <v>2</v>
      </c>
    </row>
    <row r="1384" spans="1:23" ht="15.75" customHeight="1" x14ac:dyDescent="0.35">
      <c r="A1384" s="2" t="s">
        <v>23</v>
      </c>
      <c r="L1384" s="2">
        <v>150</v>
      </c>
      <c r="M1384" s="2" t="s">
        <v>181</v>
      </c>
      <c r="O1384" s="2" t="s">
        <v>2929</v>
      </c>
      <c r="P1384" s="2" t="str">
        <f ca="1">IFERROR(__xludf.DUMMYFUNCTION("GOOGLETRANSLATE(O1384,""en"",""bn"")"),"মেঘনাদ নস্কর")</f>
        <v>মেঘনাদ নস্কর</v>
      </c>
      <c r="Q1384" s="2" t="s">
        <v>1322</v>
      </c>
      <c r="S1384" s="2" t="s">
        <v>1322</v>
      </c>
      <c r="V1384" s="2" t="s">
        <v>2930</v>
      </c>
      <c r="W1384" s="2">
        <v>2</v>
      </c>
    </row>
    <row r="1385" spans="1:23" ht="15.75" customHeight="1" x14ac:dyDescent="0.35">
      <c r="A1385" s="2" t="s">
        <v>23</v>
      </c>
      <c r="L1385" s="2">
        <v>198</v>
      </c>
      <c r="M1385" s="2" t="s">
        <v>381</v>
      </c>
      <c r="O1385" s="2" t="s">
        <v>2931</v>
      </c>
      <c r="P1385" s="2" t="str">
        <f ca="1">IFERROR(__xludf.DUMMYFUNCTION("GOOGLETRANSLATE(O1385,""en"",""bn"")"),"মদন চন্দ্র ঘোষ")</f>
        <v>মদন চন্দ্র ঘোষ</v>
      </c>
      <c r="Q1385" s="2" t="s">
        <v>1322</v>
      </c>
      <c r="S1385" s="2" t="s">
        <v>1322</v>
      </c>
      <c r="V1385" s="2" t="s">
        <v>2932</v>
      </c>
      <c r="W1385" s="2">
        <v>2</v>
      </c>
    </row>
    <row r="1386" spans="1:23" ht="15.75" customHeight="1" x14ac:dyDescent="0.35">
      <c r="A1386" s="2" t="s">
        <v>23</v>
      </c>
      <c r="L1386" s="2">
        <v>161</v>
      </c>
      <c r="M1386" s="2" t="s">
        <v>112</v>
      </c>
      <c r="O1386" s="2" t="s">
        <v>2407</v>
      </c>
      <c r="P1386" s="2" t="str">
        <f ca="1">IFERROR(__xludf.DUMMYFUNCTION("GOOGLETRANSLATE(O1386,""en"",""bn"")"),"উত্তম কুমার দাস")</f>
        <v>উত্তম কুমার দাস</v>
      </c>
      <c r="Q1386" s="2" t="s">
        <v>1322</v>
      </c>
      <c r="S1386" s="2" t="s">
        <v>1322</v>
      </c>
      <c r="V1386" s="2" t="s">
        <v>2933</v>
      </c>
      <c r="W1386" s="2">
        <v>2</v>
      </c>
    </row>
    <row r="1387" spans="1:23" ht="15.75" customHeight="1" x14ac:dyDescent="0.35">
      <c r="A1387" s="2" t="s">
        <v>23</v>
      </c>
      <c r="L1387" s="2">
        <v>166</v>
      </c>
      <c r="M1387" s="2" t="s">
        <v>247</v>
      </c>
      <c r="O1387" s="2" t="s">
        <v>2934</v>
      </c>
      <c r="P1387" s="2" t="str">
        <f ca="1">IFERROR(__xludf.DUMMYFUNCTION("GOOGLETRANSLATE(O1387,""en"",""bn"")"),"উমা গোস্বামী")</f>
        <v>উমা গোস্বামী</v>
      </c>
      <c r="Q1387" s="2" t="s">
        <v>1322</v>
      </c>
      <c r="S1387" s="2" t="s">
        <v>1322</v>
      </c>
      <c r="V1387" s="2" t="s">
        <v>2935</v>
      </c>
      <c r="W1387" s="2">
        <v>2</v>
      </c>
    </row>
    <row r="1388" spans="1:23" ht="15.75" customHeight="1" x14ac:dyDescent="0.35">
      <c r="A1388" s="2" t="s">
        <v>23</v>
      </c>
      <c r="L1388" s="2">
        <v>168</v>
      </c>
      <c r="M1388" s="2" t="s">
        <v>100</v>
      </c>
      <c r="O1388" s="2" t="s">
        <v>2936</v>
      </c>
      <c r="P1388" s="2" t="str">
        <f ca="1">IFERROR(__xludf.DUMMYFUNCTION("GOOGLETRANSLATE(O1388,""en"",""bn"")"),"সৌম্য চট্টোপাধ্যায়")</f>
        <v>সৌম্য চট্টোপাধ্যায়</v>
      </c>
      <c r="Q1388" s="2" t="s">
        <v>1322</v>
      </c>
      <c r="S1388" s="2" t="s">
        <v>1322</v>
      </c>
      <c r="V1388" s="2" t="s">
        <v>2937</v>
      </c>
      <c r="W1388" s="2">
        <v>2</v>
      </c>
    </row>
    <row r="1389" spans="1:23" ht="15.75" customHeight="1" x14ac:dyDescent="0.35">
      <c r="A1389" s="2" t="s">
        <v>23</v>
      </c>
      <c r="L1389" s="2">
        <v>159</v>
      </c>
      <c r="M1389" s="2" t="s">
        <v>157</v>
      </c>
      <c r="O1389" s="2" t="s">
        <v>2938</v>
      </c>
      <c r="P1389" s="2" t="str">
        <f ca="1">IFERROR(__xludf.DUMMYFUNCTION("GOOGLETRANSLATE(O1389,""en"",""bn"")"),"সুব্রত বসু")</f>
        <v>সুব্রত বসু</v>
      </c>
      <c r="Q1389" s="2" t="s">
        <v>1322</v>
      </c>
      <c r="S1389" s="2" t="s">
        <v>1322</v>
      </c>
      <c r="V1389" s="2" t="s">
        <v>2939</v>
      </c>
      <c r="W1389" s="2">
        <v>2</v>
      </c>
    </row>
    <row r="1390" spans="1:23" ht="15.75" customHeight="1" x14ac:dyDescent="0.35">
      <c r="A1390" s="2" t="s">
        <v>23</v>
      </c>
      <c r="L1390" s="2">
        <v>134</v>
      </c>
      <c r="M1390" s="2" t="s">
        <v>274</v>
      </c>
      <c r="O1390" s="2" t="s">
        <v>2940</v>
      </c>
      <c r="P1390" s="2" t="str">
        <f ca="1">IFERROR(__xludf.DUMMYFUNCTION("GOOGLETRANSLATE(O1390,""en"",""bn"")"),"বাবলু হালদার")</f>
        <v>বাবলু হালদার</v>
      </c>
      <c r="Q1390" s="2" t="s">
        <v>1322</v>
      </c>
      <c r="S1390" s="2" t="s">
        <v>1322</v>
      </c>
      <c r="V1390" s="2" t="s">
        <v>2941</v>
      </c>
      <c r="W1390" s="2">
        <v>2</v>
      </c>
    </row>
    <row r="1391" spans="1:23" ht="15.75" customHeight="1" x14ac:dyDescent="0.35">
      <c r="A1391" s="2" t="s">
        <v>23</v>
      </c>
      <c r="L1391" s="2">
        <v>106</v>
      </c>
      <c r="M1391" s="2" t="s">
        <v>283</v>
      </c>
      <c r="O1391" s="2" t="s">
        <v>2942</v>
      </c>
      <c r="P1391" s="2" t="str">
        <f ca="1">IFERROR(__xludf.DUMMYFUNCTION("GOOGLETRANSLATE(O1391,""en"",""bn"")"),"সুভাময় প্যান")</f>
        <v>সুভাময় প্যান</v>
      </c>
      <c r="Q1391" s="2" t="s">
        <v>1322</v>
      </c>
      <c r="S1391" s="2" t="s">
        <v>1322</v>
      </c>
      <c r="V1391" s="2" t="s">
        <v>2943</v>
      </c>
      <c r="W1391" s="2">
        <v>2</v>
      </c>
    </row>
    <row r="1392" spans="1:23" ht="15.75" customHeight="1" x14ac:dyDescent="0.35">
      <c r="A1392" s="2" t="s">
        <v>23</v>
      </c>
      <c r="L1392" s="2">
        <v>117</v>
      </c>
      <c r="M1392" s="2" t="s">
        <v>277</v>
      </c>
      <c r="O1392" s="2" t="s">
        <v>2944</v>
      </c>
      <c r="P1392" s="2" t="str">
        <f ca="1">IFERROR(__xludf.DUMMYFUNCTION("GOOGLETRANSLATE(O1392,""en"",""bn"")"),"স্বপন হালদার")</f>
        <v>স্বপন হালদার</v>
      </c>
      <c r="Q1392" s="2" t="s">
        <v>1322</v>
      </c>
      <c r="S1392" s="2" t="s">
        <v>1322</v>
      </c>
      <c r="V1392" s="2" t="s">
        <v>2945</v>
      </c>
      <c r="W1392" s="2">
        <v>2</v>
      </c>
    </row>
    <row r="1393" spans="1:23" ht="15.75" customHeight="1" x14ac:dyDescent="0.35">
      <c r="A1393" s="2" t="s">
        <v>23</v>
      </c>
      <c r="L1393" s="2">
        <v>88</v>
      </c>
      <c r="M1393" s="2" t="s">
        <v>306</v>
      </c>
      <c r="O1393" s="2" t="s">
        <v>2946</v>
      </c>
      <c r="P1393" s="2" t="str">
        <f ca="1">IFERROR(__xludf.DUMMYFUNCTION("GOOGLETRANSLATE(O1393,""en"",""bn"")"),"সুবীর বিশ্বাস")</f>
        <v>সুবীর বিশ্বাস</v>
      </c>
      <c r="Q1393" s="2" t="s">
        <v>1322</v>
      </c>
      <c r="S1393" s="2" t="s">
        <v>1322</v>
      </c>
      <c r="V1393" s="2" t="s">
        <v>2947</v>
      </c>
      <c r="W1393" s="2">
        <v>2</v>
      </c>
    </row>
    <row r="1394" spans="1:23" ht="15.75" customHeight="1" x14ac:dyDescent="0.35">
      <c r="A1394" s="2" t="s">
        <v>23</v>
      </c>
      <c r="L1394" s="2">
        <v>179</v>
      </c>
      <c r="M1394" s="2" t="s">
        <v>435</v>
      </c>
      <c r="O1394" s="2" t="s">
        <v>2948</v>
      </c>
      <c r="P1394" s="2" t="str">
        <f ca="1">IFERROR(__xludf.DUMMYFUNCTION("GOOGLETRANSLATE(O1394,""en"",""bn"")"),"স্নেহাশিষ শাশমোল")</f>
        <v>স্নেহাশিষ শাশমোল</v>
      </c>
      <c r="Q1394" s="2" t="s">
        <v>1322</v>
      </c>
      <c r="S1394" s="2" t="s">
        <v>1322</v>
      </c>
      <c r="V1394" s="2" t="s">
        <v>2949</v>
      </c>
      <c r="W1394" s="2">
        <v>2</v>
      </c>
    </row>
    <row r="1395" spans="1:23" ht="15.75" customHeight="1" x14ac:dyDescent="0.35">
      <c r="A1395" s="2" t="s">
        <v>23</v>
      </c>
      <c r="L1395" s="2">
        <v>173</v>
      </c>
      <c r="M1395" s="2" t="s">
        <v>127</v>
      </c>
      <c r="O1395" s="2" t="s">
        <v>2950</v>
      </c>
      <c r="P1395" s="2" t="str">
        <f ca="1">IFERROR(__xludf.DUMMYFUNCTION("GOOGLETRANSLATE(O1395,""en"",""bn"")"),"সমীর বাচার")</f>
        <v>সমীর বাচার</v>
      </c>
      <c r="Q1395" s="2" t="s">
        <v>1322</v>
      </c>
      <c r="S1395" s="2" t="s">
        <v>1322</v>
      </c>
      <c r="V1395" s="2" t="s">
        <v>2951</v>
      </c>
      <c r="W1395" s="2">
        <v>2</v>
      </c>
    </row>
    <row r="1396" spans="1:23" ht="15.75" customHeight="1" x14ac:dyDescent="0.35">
      <c r="A1396" s="2" t="s">
        <v>23</v>
      </c>
      <c r="L1396" s="2">
        <v>119</v>
      </c>
      <c r="M1396" s="2" t="s">
        <v>327</v>
      </c>
      <c r="O1396" s="2" t="s">
        <v>1361</v>
      </c>
      <c r="P1396" s="2" t="str">
        <f ca="1">IFERROR(__xludf.DUMMYFUNCTION("GOOGLETRANSLATE(O1396,""en"",""bn"")"),"হেমন্ত দাস")</f>
        <v>হেমন্ত দাস</v>
      </c>
      <c r="Q1396" s="2" t="s">
        <v>1322</v>
      </c>
      <c r="S1396" s="2" t="s">
        <v>1322</v>
      </c>
      <c r="V1396" s="2" t="s">
        <v>2952</v>
      </c>
      <c r="W1396" s="2">
        <v>2</v>
      </c>
    </row>
    <row r="1397" spans="1:23" ht="15.75" customHeight="1" x14ac:dyDescent="0.35">
      <c r="A1397" s="2" t="s">
        <v>23</v>
      </c>
      <c r="L1397" s="2">
        <v>181</v>
      </c>
      <c r="M1397" s="2" t="s">
        <v>193</v>
      </c>
      <c r="O1397" s="2" t="s">
        <v>2953</v>
      </c>
      <c r="P1397" s="2" t="str">
        <f ca="1">IFERROR(__xludf.DUMMYFUNCTION("GOOGLETRANSLATE(O1397,""en"",""bn"")"),"সরস্বতী পাত্র সরকার")</f>
        <v>সরস্বতী পাত্র সরকার</v>
      </c>
      <c r="Q1397" s="2" t="s">
        <v>1322</v>
      </c>
      <c r="S1397" s="2" t="s">
        <v>1322</v>
      </c>
      <c r="V1397" s="2" t="s">
        <v>2954</v>
      </c>
      <c r="W1397" s="2">
        <v>2</v>
      </c>
    </row>
    <row r="1398" spans="1:23" ht="15.75" customHeight="1" x14ac:dyDescent="0.35">
      <c r="A1398" s="2" t="s">
        <v>23</v>
      </c>
      <c r="L1398" s="2">
        <v>142</v>
      </c>
      <c r="M1398" s="2" t="s">
        <v>414</v>
      </c>
      <c r="O1398" s="2" t="s">
        <v>2955</v>
      </c>
      <c r="P1398" s="2" t="str">
        <f ca="1">IFERROR(__xludf.DUMMYFUNCTION("GOOGLETRANSLATE(O1398,""en"",""bn"")"),"সাজ্জাত মীর")</f>
        <v>সাজ্জাত মীর</v>
      </c>
      <c r="Q1398" s="2" t="s">
        <v>1322</v>
      </c>
      <c r="S1398" s="2" t="s">
        <v>1322</v>
      </c>
      <c r="V1398" s="2" t="s">
        <v>2956</v>
      </c>
      <c r="W1398" s="2">
        <v>2</v>
      </c>
    </row>
    <row r="1399" spans="1:23" ht="15.75" customHeight="1" x14ac:dyDescent="0.35">
      <c r="A1399" s="2" t="s">
        <v>23</v>
      </c>
      <c r="L1399" s="2">
        <v>163</v>
      </c>
      <c r="M1399" s="2" t="s">
        <v>363</v>
      </c>
      <c r="O1399" s="2" t="s">
        <v>2957</v>
      </c>
      <c r="P1399" s="2" t="str">
        <f ca="1">IFERROR(__xludf.DUMMYFUNCTION("GOOGLETRANSLATE(O1399,""en"",""bn"")"),"প্রেম চাঁদ রাম")</f>
        <v>প্রেম চাঁদ রাম</v>
      </c>
      <c r="Q1399" s="2" t="s">
        <v>1322</v>
      </c>
      <c r="S1399" s="2" t="s">
        <v>1322</v>
      </c>
      <c r="V1399" s="2" t="s">
        <v>2958</v>
      </c>
      <c r="W1399" s="2">
        <v>2</v>
      </c>
    </row>
    <row r="1400" spans="1:23" ht="15.75" customHeight="1" x14ac:dyDescent="0.35">
      <c r="A1400" s="2" t="s">
        <v>23</v>
      </c>
      <c r="L1400" s="2">
        <v>95</v>
      </c>
      <c r="M1400" s="2" t="s">
        <v>142</v>
      </c>
      <c r="O1400" s="2" t="s">
        <v>2959</v>
      </c>
      <c r="P1400" s="2" t="str">
        <f ca="1">IFERROR(__xludf.DUMMYFUNCTION("GOOGLETRANSLATE(O1400,""en"",""bn"")"),"সুধাংশু শেখর বিশ্বাস")</f>
        <v>সুধাংশু শেখর বিশ্বাস</v>
      </c>
      <c r="Q1400" s="2" t="s">
        <v>1322</v>
      </c>
      <c r="S1400" s="2" t="s">
        <v>1322</v>
      </c>
      <c r="V1400" s="2" t="s">
        <v>2960</v>
      </c>
      <c r="W1400" s="2">
        <v>2</v>
      </c>
    </row>
    <row r="1401" spans="1:23" ht="15.75" customHeight="1" x14ac:dyDescent="0.35">
      <c r="A1401" s="2" t="s">
        <v>23</v>
      </c>
      <c r="L1401" s="2">
        <v>169</v>
      </c>
      <c r="M1401" s="2" t="s">
        <v>90</v>
      </c>
      <c r="O1401" s="2" t="s">
        <v>2961</v>
      </c>
      <c r="P1401" s="2" t="str">
        <f ca="1">IFERROR(__xludf.DUMMYFUNCTION("GOOGLETRANSLATE(O1401,""en"",""bn"")"),"আলোক পাখিরা")</f>
        <v>আলোক পাখিরা</v>
      </c>
      <c r="Q1401" s="2" t="s">
        <v>1322</v>
      </c>
      <c r="S1401" s="2" t="s">
        <v>1322</v>
      </c>
      <c r="V1401" s="2" t="s">
        <v>2962</v>
      </c>
      <c r="W1401" s="2">
        <v>2</v>
      </c>
    </row>
    <row r="1402" spans="1:23" ht="15.75" customHeight="1" x14ac:dyDescent="0.35">
      <c r="A1402" s="2" t="s">
        <v>23</v>
      </c>
      <c r="L1402" s="2">
        <v>167</v>
      </c>
      <c r="M1402" s="2" t="s">
        <v>109</v>
      </c>
      <c r="O1402" s="2" t="s">
        <v>2963</v>
      </c>
      <c r="P1402" s="2" t="str">
        <f ca="1">IFERROR(__xludf.DUMMYFUNCTION("GOOGLETRANSLATE(O1402,""en"",""bn"")"),"শুভম মজুমদার")</f>
        <v>শুভম মজুমদার</v>
      </c>
      <c r="Q1402" s="2" t="s">
        <v>1322</v>
      </c>
      <c r="S1402" s="2" t="s">
        <v>1322</v>
      </c>
      <c r="V1402" s="2" t="s">
        <v>2964</v>
      </c>
      <c r="W1402" s="2">
        <v>2</v>
      </c>
    </row>
    <row r="1403" spans="1:23" ht="15.75" customHeight="1" x14ac:dyDescent="0.35">
      <c r="A1403" s="2" t="s">
        <v>23</v>
      </c>
      <c r="L1403" s="2">
        <v>171</v>
      </c>
      <c r="M1403" s="2" t="s">
        <v>87</v>
      </c>
      <c r="O1403" s="2" t="s">
        <v>2965</v>
      </c>
      <c r="P1403" s="2" t="str">
        <f ca="1">IFERROR(__xludf.DUMMYFUNCTION("GOOGLETRANSLATE(O1403,""en"",""bn"")"),"রেনু প্রসাদ")</f>
        <v>রেনু প্রসাদ</v>
      </c>
      <c r="Q1403" s="2" t="s">
        <v>1322</v>
      </c>
      <c r="S1403" s="2" t="s">
        <v>1322</v>
      </c>
      <c r="V1403" s="2" t="s">
        <v>2966</v>
      </c>
      <c r="W1403" s="2">
        <v>2</v>
      </c>
    </row>
    <row r="1404" spans="1:23" ht="15.75" customHeight="1" x14ac:dyDescent="0.35">
      <c r="A1404" s="2" t="s">
        <v>23</v>
      </c>
      <c r="L1404" s="2">
        <v>107</v>
      </c>
      <c r="M1404" s="2" t="s">
        <v>32</v>
      </c>
      <c r="O1404" s="2" t="s">
        <v>2967</v>
      </c>
      <c r="P1404" s="2" t="str">
        <f ca="1">IFERROR(__xludf.DUMMYFUNCTION("GOOGLETRANSLATE(O1404,""en"",""bn"")"),"বিশাল কুমার মন্ডল")</f>
        <v>বিশাল কুমার মন্ডল</v>
      </c>
      <c r="Q1404" s="2" t="s">
        <v>1322</v>
      </c>
      <c r="S1404" s="2" t="s">
        <v>1322</v>
      </c>
      <c r="V1404" s="2" t="s">
        <v>2968</v>
      </c>
      <c r="W1404" s="2">
        <v>2</v>
      </c>
    </row>
    <row r="1405" spans="1:23" ht="15.75" customHeight="1" x14ac:dyDescent="0.35">
      <c r="A1405" s="2" t="s">
        <v>23</v>
      </c>
      <c r="L1405" s="2">
        <v>158</v>
      </c>
      <c r="M1405" s="2" t="s">
        <v>57</v>
      </c>
      <c r="O1405" s="2" t="s">
        <v>2969</v>
      </c>
      <c r="P1405" s="2" t="str">
        <f ca="1">IFERROR(__xludf.DUMMYFUNCTION("GOOGLETRANSLATE(O1405,""en"",""bn"")"),"কায়সার খান")</f>
        <v>কায়সার খান</v>
      </c>
      <c r="Q1405" s="2" t="s">
        <v>1322</v>
      </c>
      <c r="S1405" s="2" t="s">
        <v>1322</v>
      </c>
      <c r="V1405" s="2" t="s">
        <v>2970</v>
      </c>
      <c r="W1405" s="2">
        <v>2</v>
      </c>
    </row>
    <row r="1406" spans="1:23" ht="15.75" customHeight="1" x14ac:dyDescent="0.35">
      <c r="A1406" s="2" t="s">
        <v>23</v>
      </c>
      <c r="L1406" s="2">
        <v>109</v>
      </c>
      <c r="M1406" s="2" t="s">
        <v>336</v>
      </c>
      <c r="O1406" s="2" t="s">
        <v>1395</v>
      </c>
      <c r="P1406" s="2" t="str">
        <f ca="1">IFERROR(__xludf.DUMMYFUNCTION("GOOGLETRANSLATE(O1406,""en"",""bn"")"),"সঞ্জীব বিশ্বাস")</f>
        <v>সঞ্জীব বিশ্বাস</v>
      </c>
      <c r="Q1406" s="2" t="s">
        <v>1322</v>
      </c>
      <c r="S1406" s="2" t="s">
        <v>1322</v>
      </c>
      <c r="V1406" s="2" t="s">
        <v>2971</v>
      </c>
      <c r="W1406" s="2">
        <v>2</v>
      </c>
    </row>
    <row r="1407" spans="1:23" ht="15.75" customHeight="1" x14ac:dyDescent="0.35">
      <c r="A1407" s="2" t="s">
        <v>23</v>
      </c>
      <c r="L1407" s="2">
        <v>170</v>
      </c>
      <c r="M1407" s="2" t="s">
        <v>438</v>
      </c>
      <c r="O1407" s="2" t="s">
        <v>2972</v>
      </c>
      <c r="P1407" s="2" t="str">
        <f ca="1">IFERROR(__xludf.DUMMYFUNCTION("GOOGLETRANSLATE(O1407,""en"",""bn"")"),"হরিনারায়ণ চৌধুরী")</f>
        <v>হরিনারায়ণ চৌধুরী</v>
      </c>
      <c r="Q1407" s="2" t="s">
        <v>1322</v>
      </c>
      <c r="S1407" s="2" t="s">
        <v>1322</v>
      </c>
      <c r="V1407" s="2" t="s">
        <v>2973</v>
      </c>
      <c r="W1407" s="2">
        <v>2</v>
      </c>
    </row>
    <row r="1408" spans="1:23" ht="15.75" customHeight="1" x14ac:dyDescent="0.35">
      <c r="A1408" s="2" t="s">
        <v>23</v>
      </c>
      <c r="L1408" s="2">
        <v>147</v>
      </c>
      <c r="M1408" s="2" t="s">
        <v>265</v>
      </c>
      <c r="O1408" s="2" t="s">
        <v>2974</v>
      </c>
      <c r="P1408" s="2" t="str">
        <f ca="1">IFERROR(__xludf.DUMMYFUNCTION("GOOGLETRANSLATE(O1408,""en"",""bn"")"),"রূপা মন্ডল")</f>
        <v>রূপা মন্ডল</v>
      </c>
      <c r="Q1408" s="2" t="s">
        <v>1322</v>
      </c>
      <c r="S1408" s="2" t="s">
        <v>1322</v>
      </c>
      <c r="V1408" s="2" t="s">
        <v>2975</v>
      </c>
      <c r="W1408" s="2">
        <v>2</v>
      </c>
    </row>
    <row r="1409" spans="1:23" ht="15.75" customHeight="1" x14ac:dyDescent="0.35">
      <c r="A1409" s="2" t="s">
        <v>23</v>
      </c>
      <c r="L1409" s="2">
        <v>184</v>
      </c>
      <c r="M1409" s="2" t="s">
        <v>60</v>
      </c>
      <c r="O1409" s="2" t="s">
        <v>2976</v>
      </c>
      <c r="P1409" s="2" t="str">
        <f ca="1">IFERROR(__xludf.DUMMYFUNCTION("GOOGLETRANSLATE(O1409,""en"",""bn"")"),"লক্ষ্মীকান্ত নস্কর")</f>
        <v>লক্ষ্মীকান্ত নস্কর</v>
      </c>
      <c r="Q1409" s="2" t="s">
        <v>1322</v>
      </c>
      <c r="S1409" s="2" t="s">
        <v>1322</v>
      </c>
      <c r="V1409" s="2" t="s">
        <v>2977</v>
      </c>
      <c r="W1409" s="2">
        <v>2</v>
      </c>
    </row>
    <row r="1410" spans="1:23" ht="15.75" customHeight="1" x14ac:dyDescent="0.35">
      <c r="A1410" s="2" t="s">
        <v>23</v>
      </c>
      <c r="L1410" s="2">
        <v>154</v>
      </c>
      <c r="M1410" s="2" t="s">
        <v>136</v>
      </c>
      <c r="O1410" s="2" t="s">
        <v>2978</v>
      </c>
      <c r="P1410" s="2" t="str">
        <f ca="1">IFERROR(__xludf.DUMMYFUNCTION("GOOGLETRANSLATE(O1410,""en"",""bn"")"),"সুতপা দাস")</f>
        <v>সুতপা দাস</v>
      </c>
      <c r="Q1410" s="2" t="s">
        <v>1322</v>
      </c>
      <c r="S1410" s="2" t="s">
        <v>1322</v>
      </c>
      <c r="V1410" s="2" t="s">
        <v>2979</v>
      </c>
      <c r="W1410" s="2">
        <v>2</v>
      </c>
    </row>
    <row r="1411" spans="1:23" ht="15.75" customHeight="1" x14ac:dyDescent="0.35">
      <c r="A1411" s="2" t="s">
        <v>23</v>
      </c>
      <c r="L1411" s="2">
        <v>134</v>
      </c>
      <c r="M1411" s="2" t="s">
        <v>274</v>
      </c>
      <c r="O1411" s="2" t="s">
        <v>2980</v>
      </c>
      <c r="P1411" s="2" t="str">
        <f ca="1">IFERROR(__xludf.DUMMYFUNCTION("GOOGLETRANSLATE(O1411,""en"",""bn"")"),"রফিক বৈদ্য")</f>
        <v>রফিক বৈদ্য</v>
      </c>
      <c r="Q1411" s="2" t="s">
        <v>1322</v>
      </c>
      <c r="S1411" s="2" t="s">
        <v>1322</v>
      </c>
      <c r="V1411" s="2" t="s">
        <v>2981</v>
      </c>
      <c r="W1411" s="2">
        <v>2</v>
      </c>
    </row>
    <row r="1412" spans="1:23" ht="15.75" customHeight="1" x14ac:dyDescent="0.35">
      <c r="A1412" s="2" t="s">
        <v>23</v>
      </c>
      <c r="L1412" s="2">
        <v>136</v>
      </c>
      <c r="M1412" s="2" t="s">
        <v>43</v>
      </c>
      <c r="O1412" s="2" t="s">
        <v>2982</v>
      </c>
      <c r="P1412" s="2" t="str">
        <f ca="1">IFERROR(__xludf.DUMMYFUNCTION("GOOGLETRANSLATE(O1412,""en"",""bn"")"),"সুভাষিশ হালদার")</f>
        <v>সুভাষিশ হালদার</v>
      </c>
      <c r="Q1412" s="2" t="s">
        <v>1322</v>
      </c>
      <c r="S1412" s="2" t="s">
        <v>1322</v>
      </c>
      <c r="V1412" s="2" t="s">
        <v>2983</v>
      </c>
      <c r="W1412" s="2">
        <v>2</v>
      </c>
    </row>
    <row r="1413" spans="1:23" ht="15.75" customHeight="1" x14ac:dyDescent="0.35">
      <c r="A1413" s="2" t="s">
        <v>23</v>
      </c>
      <c r="L1413" s="2">
        <v>99</v>
      </c>
      <c r="M1413" s="2" t="s">
        <v>268</v>
      </c>
      <c r="O1413" s="2" t="s">
        <v>2984</v>
      </c>
      <c r="P1413" s="2" t="str">
        <f ca="1">IFERROR(__xludf.DUMMYFUNCTION("GOOGLETRANSLATE(O1413,""en"",""bn"")"),"সৌপ্তিক মন্ডল")</f>
        <v>সৌপ্তিক মন্ডল</v>
      </c>
      <c r="Q1413" s="2" t="s">
        <v>1322</v>
      </c>
      <c r="S1413" s="2" t="s">
        <v>1322</v>
      </c>
      <c r="V1413" s="2" t="s">
        <v>2985</v>
      </c>
      <c r="W1413" s="2">
        <v>2</v>
      </c>
    </row>
    <row r="1414" spans="1:23" ht="15.75" customHeight="1" x14ac:dyDescent="0.35">
      <c r="A1414" s="2" t="s">
        <v>23</v>
      </c>
      <c r="L1414" s="2">
        <v>100</v>
      </c>
      <c r="M1414" s="2" t="s">
        <v>69</v>
      </c>
      <c r="O1414" s="2" t="s">
        <v>2986</v>
      </c>
      <c r="P1414" s="2" t="str">
        <f ca="1">IFERROR(__xludf.DUMMYFUNCTION("GOOGLETRANSLATE(O1414,""en"",""bn"")"),"শরিফুল মোল্লা")</f>
        <v>শরিফুল মোল্লা</v>
      </c>
      <c r="Q1414" s="2" t="s">
        <v>1322</v>
      </c>
      <c r="S1414" s="2" t="s">
        <v>1322</v>
      </c>
      <c r="V1414" s="2" t="s">
        <v>2987</v>
      </c>
      <c r="W1414" s="2">
        <v>2</v>
      </c>
    </row>
    <row r="1415" spans="1:23" ht="15.75" customHeight="1" x14ac:dyDescent="0.35">
      <c r="A1415" s="2" t="s">
        <v>23</v>
      </c>
      <c r="L1415" s="2">
        <v>149</v>
      </c>
      <c r="M1415" s="2" t="s">
        <v>51</v>
      </c>
      <c r="O1415" s="2" t="s">
        <v>2988</v>
      </c>
      <c r="P1415" s="2" t="str">
        <f ca="1">IFERROR(__xludf.DUMMYFUNCTION("GOOGLETRANSLATE(O1415,""en"",""bn"")"),"স্বপন চক্রবর্তী")</f>
        <v>স্বপন চক্রবর্তী</v>
      </c>
      <c r="Q1415" s="2" t="s">
        <v>1322</v>
      </c>
      <c r="S1415" s="2" t="s">
        <v>1322</v>
      </c>
      <c r="V1415" s="2" t="s">
        <v>2989</v>
      </c>
      <c r="W1415" s="2">
        <v>2</v>
      </c>
    </row>
    <row r="1416" spans="1:23" ht="15.75" customHeight="1" x14ac:dyDescent="0.35">
      <c r="A1416" s="2" t="s">
        <v>23</v>
      </c>
      <c r="L1416" s="2">
        <v>115</v>
      </c>
      <c r="M1416" s="2" t="s">
        <v>84</v>
      </c>
      <c r="O1416" s="2" t="s">
        <v>2990</v>
      </c>
      <c r="P1416" s="2" t="str">
        <f ca="1">IFERROR(__xludf.DUMMYFUNCTION("GOOGLETRANSLATE(O1416,""en"",""bn"")"),"সুজন সর্দার")</f>
        <v>সুজন সর্দার</v>
      </c>
      <c r="Q1416" s="2" t="s">
        <v>1322</v>
      </c>
      <c r="S1416" s="2" t="s">
        <v>1322</v>
      </c>
      <c r="V1416" s="2" t="s">
        <v>2991</v>
      </c>
      <c r="W1416" s="2">
        <v>2</v>
      </c>
    </row>
    <row r="1417" spans="1:23" ht="15.75" customHeight="1" x14ac:dyDescent="0.35">
      <c r="A1417" s="2" t="s">
        <v>23</v>
      </c>
      <c r="L1417" s="2">
        <v>168</v>
      </c>
      <c r="M1417" s="2" t="s">
        <v>100</v>
      </c>
      <c r="O1417" s="2" t="s">
        <v>2992</v>
      </c>
      <c r="P1417" s="2" t="str">
        <f ca="1">IFERROR(__xludf.DUMMYFUNCTION("GOOGLETRANSLATE(O1417,""en"",""bn"")"),"সুরজিৎ গুপ্ত")</f>
        <v>সুরজিৎ গুপ্ত</v>
      </c>
      <c r="Q1417" s="2" t="s">
        <v>1322</v>
      </c>
      <c r="S1417" s="2" t="s">
        <v>1322</v>
      </c>
      <c r="V1417" s="2" t="s">
        <v>2993</v>
      </c>
      <c r="W1417" s="2">
        <v>2</v>
      </c>
    </row>
    <row r="1418" spans="1:23" ht="15.75" customHeight="1" x14ac:dyDescent="0.35">
      <c r="A1418" s="2" t="s">
        <v>23</v>
      </c>
      <c r="L1418" s="2">
        <v>158</v>
      </c>
      <c r="M1418" s="2" t="s">
        <v>57</v>
      </c>
      <c r="O1418" s="2" t="s">
        <v>2994</v>
      </c>
      <c r="P1418" s="2" t="str">
        <f ca="1">IFERROR(__xludf.DUMMYFUNCTION("GOOGLETRANSLATE(O1418,""en"",""bn"")"),"সঞ্জয় দে")</f>
        <v>সঞ্জয় দে</v>
      </c>
      <c r="Q1418" s="2" t="s">
        <v>1322</v>
      </c>
      <c r="S1418" s="2" t="s">
        <v>1322</v>
      </c>
      <c r="V1418" s="2" t="s">
        <v>2995</v>
      </c>
      <c r="W1418" s="2">
        <v>2</v>
      </c>
    </row>
    <row r="1419" spans="1:23" ht="15.75" customHeight="1" x14ac:dyDescent="0.35">
      <c r="A1419" s="2" t="s">
        <v>23</v>
      </c>
      <c r="L1419" s="2">
        <v>163</v>
      </c>
      <c r="M1419" s="2" t="s">
        <v>363</v>
      </c>
      <c r="O1419" s="2" t="s">
        <v>2996</v>
      </c>
      <c r="P1419" s="2" t="str">
        <f ca="1">IFERROR(__xludf.DUMMYFUNCTION("GOOGLETRANSLATE(O1419,""en"",""bn"")"),"রশিদ ইকবাল")</f>
        <v>রশিদ ইকবাল</v>
      </c>
      <c r="Q1419" s="2" t="s">
        <v>1322</v>
      </c>
      <c r="S1419" s="2" t="s">
        <v>1322</v>
      </c>
      <c r="V1419" s="2" t="s">
        <v>2997</v>
      </c>
      <c r="W1419" s="2">
        <v>2</v>
      </c>
    </row>
    <row r="1420" spans="1:23" ht="15.75" customHeight="1" x14ac:dyDescent="0.35">
      <c r="A1420" s="2" t="s">
        <v>23</v>
      </c>
      <c r="L1420" s="2">
        <v>181</v>
      </c>
      <c r="M1420" s="2" t="s">
        <v>193</v>
      </c>
      <c r="O1420" s="2" t="s">
        <v>2998</v>
      </c>
      <c r="P1420" s="2" t="str">
        <f ca="1">IFERROR(__xludf.DUMMYFUNCTION("GOOGLETRANSLATE(O1420,""en"",""bn"")"),"এসকে সাপিয়ার আলী")</f>
        <v>এসকে সাপিয়ার আলী</v>
      </c>
      <c r="Q1420" s="2" t="s">
        <v>1322</v>
      </c>
      <c r="S1420" s="2" t="s">
        <v>1322</v>
      </c>
      <c r="V1420" s="2" t="s">
        <v>2999</v>
      </c>
      <c r="W1420" s="2">
        <v>2</v>
      </c>
    </row>
    <row r="1421" spans="1:23" ht="15.75" customHeight="1" x14ac:dyDescent="0.35">
      <c r="A1421" s="2" t="s">
        <v>23</v>
      </c>
      <c r="L1421" s="2">
        <v>150</v>
      </c>
      <c r="M1421" s="2" t="s">
        <v>181</v>
      </c>
      <c r="O1421" s="2" t="s">
        <v>3000</v>
      </c>
      <c r="P1421" s="2" t="str">
        <f ca="1">IFERROR(__xludf.DUMMYFUNCTION("GOOGLETRANSLATE(O1421,""en"",""bn"")"),"শান্তনু সরকার")</f>
        <v>শান্তনু সরকার</v>
      </c>
      <c r="Q1421" s="2" t="s">
        <v>1322</v>
      </c>
      <c r="S1421" s="2" t="s">
        <v>1322</v>
      </c>
      <c r="V1421" s="2" t="s">
        <v>3001</v>
      </c>
      <c r="W1421" s="2">
        <v>2</v>
      </c>
    </row>
    <row r="1422" spans="1:23" ht="15.75" customHeight="1" x14ac:dyDescent="0.35">
      <c r="A1422" s="2" t="s">
        <v>23</v>
      </c>
      <c r="L1422" s="2">
        <v>120</v>
      </c>
      <c r="M1422" s="2" t="s">
        <v>309</v>
      </c>
      <c r="O1422" s="2" t="s">
        <v>3002</v>
      </c>
      <c r="P1422" s="2" t="str">
        <f ca="1">IFERROR(__xludf.DUMMYFUNCTION("GOOGLETRANSLATE(O1422,""en"",""bn"")"),"সাত্তার আলী")</f>
        <v>সাত্তার আলী</v>
      </c>
      <c r="Q1422" s="2" t="s">
        <v>1322</v>
      </c>
      <c r="S1422" s="2" t="s">
        <v>1322</v>
      </c>
      <c r="V1422" s="2" t="s">
        <v>3003</v>
      </c>
      <c r="W1422" s="2">
        <v>2</v>
      </c>
    </row>
    <row r="1423" spans="1:23" ht="15.75" customHeight="1" x14ac:dyDescent="0.35">
      <c r="A1423" s="2" t="s">
        <v>23</v>
      </c>
      <c r="L1423" s="2">
        <v>107</v>
      </c>
      <c r="M1423" s="2" t="s">
        <v>32</v>
      </c>
      <c r="O1423" s="2" t="s">
        <v>3004</v>
      </c>
      <c r="P1423" s="2" t="str">
        <f ca="1">IFERROR(__xludf.DUMMYFUNCTION("GOOGLETRANSLATE(O1423,""en"",""bn"")"),"মাকসুদ হাসান")</f>
        <v>মাকসুদ হাসান</v>
      </c>
      <c r="Q1423" s="2" t="s">
        <v>1322</v>
      </c>
      <c r="S1423" s="2" t="s">
        <v>1322</v>
      </c>
      <c r="V1423" s="2" t="s">
        <v>3005</v>
      </c>
      <c r="W1423" s="2">
        <v>2</v>
      </c>
    </row>
    <row r="1424" spans="1:23" ht="15.75" customHeight="1" x14ac:dyDescent="0.35">
      <c r="A1424" s="2" t="s">
        <v>23</v>
      </c>
      <c r="L1424" s="2">
        <v>103</v>
      </c>
      <c r="M1424" s="2" t="s">
        <v>199</v>
      </c>
      <c r="O1424" s="2" t="s">
        <v>3006</v>
      </c>
      <c r="P1424" s="2" t="str">
        <f ca="1">IFERROR(__xludf.DUMMYFUNCTION("GOOGLETRANSLATE(O1424,""en"",""bn"")"),"সুব্রত রায়")</f>
        <v>সুব্রত রায়</v>
      </c>
      <c r="Q1424" s="2" t="s">
        <v>1322</v>
      </c>
      <c r="S1424" s="2" t="s">
        <v>1322</v>
      </c>
      <c r="V1424" s="2" t="s">
        <v>3007</v>
      </c>
      <c r="W1424" s="2">
        <v>2</v>
      </c>
    </row>
    <row r="1425" spans="1:23" ht="15.75" customHeight="1" x14ac:dyDescent="0.35">
      <c r="A1425" s="2" t="s">
        <v>23</v>
      </c>
      <c r="L1425" s="2">
        <v>106</v>
      </c>
      <c r="M1425" s="2" t="s">
        <v>283</v>
      </c>
      <c r="O1425" s="2" t="s">
        <v>3008</v>
      </c>
      <c r="P1425" s="2" t="str">
        <f ca="1">IFERROR(__xludf.DUMMYFUNCTION("GOOGLETRANSLATE(O1425,""en"",""bn"")"),"সোমেনাথ মিত্র")</f>
        <v>সোমেনাথ মিত্র</v>
      </c>
      <c r="Q1425" s="2" t="s">
        <v>1322</v>
      </c>
      <c r="S1425" s="2" t="s">
        <v>1322</v>
      </c>
      <c r="V1425" s="2" t="s">
        <v>3009</v>
      </c>
      <c r="W1425" s="2">
        <v>2</v>
      </c>
    </row>
    <row r="1426" spans="1:23" ht="15.75" customHeight="1" x14ac:dyDescent="0.35">
      <c r="A1426" s="2" t="s">
        <v>23</v>
      </c>
      <c r="L1426" s="2">
        <v>151</v>
      </c>
      <c r="M1426" s="2" t="s">
        <v>81</v>
      </c>
      <c r="O1426" s="2" t="s">
        <v>3010</v>
      </c>
      <c r="P1426" s="2" t="str">
        <f ca="1">IFERROR(__xludf.DUMMYFUNCTION("GOOGLETRANSLATE(O1426,""en"",""bn"")"),"সুষমা মাইতি মান্না")</f>
        <v>সুষমা মাইতি মান্না</v>
      </c>
      <c r="Q1426" s="2" t="s">
        <v>1322</v>
      </c>
      <c r="S1426" s="2" t="s">
        <v>1322</v>
      </c>
      <c r="V1426" s="2" t="s">
        <v>3011</v>
      </c>
      <c r="W1426" s="2">
        <v>2</v>
      </c>
    </row>
    <row r="1427" spans="1:23" ht="15.75" customHeight="1" x14ac:dyDescent="0.35">
      <c r="A1427" s="2" t="s">
        <v>23</v>
      </c>
      <c r="L1427" s="2">
        <v>171</v>
      </c>
      <c r="M1427" s="2" t="s">
        <v>87</v>
      </c>
      <c r="O1427" s="2" t="s">
        <v>2859</v>
      </c>
      <c r="P1427" s="2" t="str">
        <f ca="1">IFERROR(__xludf.DUMMYFUNCTION("GOOGLETRANSLATE(O1427,""en"",""bn"")"),"শর্মিষ্ঠা দাস")</f>
        <v>শর্মিষ্ঠা দাস</v>
      </c>
      <c r="Q1427" s="2" t="s">
        <v>1322</v>
      </c>
      <c r="S1427" s="2" t="s">
        <v>1322</v>
      </c>
      <c r="V1427" s="2" t="s">
        <v>3012</v>
      </c>
      <c r="W1427" s="2">
        <v>2</v>
      </c>
    </row>
    <row r="1428" spans="1:23" ht="15.75" customHeight="1" x14ac:dyDescent="0.35">
      <c r="A1428" s="2" t="s">
        <v>23</v>
      </c>
      <c r="L1428" s="2">
        <v>148</v>
      </c>
      <c r="M1428" s="2" t="s">
        <v>408</v>
      </c>
      <c r="O1428" s="2" t="s">
        <v>3013</v>
      </c>
      <c r="P1428" s="2" t="str">
        <f ca="1">IFERROR(__xludf.DUMMYFUNCTION("GOOGLETRANSLATE(O1428,""en"",""bn"")"),"মাফিজুল আলী বিশ্বাস")</f>
        <v>মাফিজুল আলী বিশ্বাস</v>
      </c>
      <c r="Q1428" s="2" t="s">
        <v>1322</v>
      </c>
      <c r="S1428" s="2" t="s">
        <v>1322</v>
      </c>
      <c r="V1428" s="2" t="s">
        <v>3014</v>
      </c>
      <c r="W1428" s="2">
        <v>2</v>
      </c>
    </row>
    <row r="1429" spans="1:23" ht="15.75" customHeight="1" x14ac:dyDescent="0.35">
      <c r="A1429" s="2" t="s">
        <v>23</v>
      </c>
      <c r="L1429" s="2">
        <v>167</v>
      </c>
      <c r="M1429" s="2" t="s">
        <v>109</v>
      </c>
      <c r="O1429" s="2" t="s">
        <v>1055</v>
      </c>
      <c r="P1429" s="2" t="str">
        <f ca="1">IFERROR(__xludf.DUMMYFUNCTION("GOOGLETRANSLATE(O1429,""en"",""bn"")"),"তাপস রায়")</f>
        <v>তাপস রায়</v>
      </c>
      <c r="Q1429" s="2" t="s">
        <v>1322</v>
      </c>
      <c r="S1429" s="2" t="s">
        <v>1322</v>
      </c>
      <c r="V1429" s="2" t="s">
        <v>3015</v>
      </c>
      <c r="W1429" s="2">
        <v>2</v>
      </c>
    </row>
    <row r="1430" spans="1:23" ht="15.75" customHeight="1" x14ac:dyDescent="0.35">
      <c r="A1430" s="2" t="s">
        <v>23</v>
      </c>
      <c r="L1430" s="2">
        <v>169</v>
      </c>
      <c r="M1430" s="2" t="s">
        <v>90</v>
      </c>
      <c r="O1430" s="2" t="s">
        <v>3016</v>
      </c>
      <c r="P1430" s="2" t="str">
        <f ca="1">IFERROR(__xludf.DUMMYFUNCTION("GOOGLETRANSLATE(O1430,""en"",""bn"")"),"আব্দুল কাদির খান")</f>
        <v>আব্দুল কাদির খান</v>
      </c>
      <c r="Q1430" s="2" t="s">
        <v>1109</v>
      </c>
      <c r="S1430" s="2" t="s">
        <v>1109</v>
      </c>
      <c r="V1430" s="2" t="s">
        <v>3017</v>
      </c>
      <c r="W1430" s="2">
        <v>2</v>
      </c>
    </row>
    <row r="1431" spans="1:23" ht="15.75" customHeight="1" x14ac:dyDescent="0.35">
      <c r="A1431" s="2" t="s">
        <v>23</v>
      </c>
      <c r="L1431" s="2">
        <v>169</v>
      </c>
      <c r="M1431" s="2" t="s">
        <v>90</v>
      </c>
      <c r="O1431" s="2" t="s">
        <v>3018</v>
      </c>
      <c r="P1431" s="2" t="str">
        <f ca="1">IFERROR(__xludf.DUMMYFUNCTION("GOOGLETRANSLATE(O1431,""en"",""bn"")"),"ইন্দ্রনাথ দাস")</f>
        <v>ইন্দ্রনাথ দাস</v>
      </c>
      <c r="Q1431" s="2" t="s">
        <v>3019</v>
      </c>
      <c r="S1431" s="2" t="s">
        <v>3019</v>
      </c>
      <c r="V1431" s="2" t="s">
        <v>3020</v>
      </c>
      <c r="W1431" s="2">
        <v>2</v>
      </c>
    </row>
    <row r="1432" spans="1:23" ht="15.75" customHeight="1" x14ac:dyDescent="0.35">
      <c r="A1432" s="2" t="s">
        <v>23</v>
      </c>
      <c r="L1432" s="2">
        <v>120</v>
      </c>
      <c r="M1432" s="2" t="s">
        <v>309</v>
      </c>
      <c r="O1432" s="2" t="s">
        <v>3021</v>
      </c>
      <c r="P1432" s="2" t="str">
        <f ca="1">IFERROR(__xludf.DUMMYFUNCTION("GOOGLETRANSLATE(O1432,""en"",""bn"")"),"সামিম তারফদার")</f>
        <v>সামিম তারফদার</v>
      </c>
      <c r="Q1432" s="2" t="s">
        <v>1322</v>
      </c>
      <c r="S1432" s="2" t="s">
        <v>1322</v>
      </c>
      <c r="V1432" s="2" t="s">
        <v>3022</v>
      </c>
      <c r="W1432" s="2">
        <v>2</v>
      </c>
    </row>
    <row r="1433" spans="1:23" ht="15.75" customHeight="1" x14ac:dyDescent="0.35">
      <c r="A1433" s="2" t="s">
        <v>23</v>
      </c>
      <c r="L1433" s="2">
        <v>168</v>
      </c>
      <c r="M1433" s="2" t="s">
        <v>100</v>
      </c>
      <c r="O1433" s="2" t="s">
        <v>2535</v>
      </c>
      <c r="P1433" s="2" t="str">
        <f ca="1">IFERROR(__xludf.DUMMYFUNCTION("GOOGLETRANSLATE(O1433,""en"",""bn"")"),"তাপস সর্দার")</f>
        <v>তাপস সর্দার</v>
      </c>
      <c r="Q1433" s="2" t="s">
        <v>1322</v>
      </c>
      <c r="S1433" s="2" t="s">
        <v>1322</v>
      </c>
      <c r="V1433" s="2" t="s">
        <v>3023</v>
      </c>
      <c r="W1433" s="2">
        <v>2</v>
      </c>
    </row>
    <row r="1434" spans="1:23" ht="15.75" customHeight="1" x14ac:dyDescent="0.35">
      <c r="A1434" s="2" t="s">
        <v>23</v>
      </c>
      <c r="L1434" s="2">
        <v>184</v>
      </c>
      <c r="M1434" s="2" t="s">
        <v>60</v>
      </c>
      <c r="O1434" s="2" t="s">
        <v>3024</v>
      </c>
      <c r="P1434" s="2" t="str">
        <f ca="1">IFERROR(__xludf.DUMMYFUNCTION("GOOGLETRANSLATE(O1434,""en"",""bn"")"),"সুজয় মন্ডল")</f>
        <v>সুজয় মন্ডল</v>
      </c>
      <c r="Q1434" s="2" t="s">
        <v>1322</v>
      </c>
      <c r="S1434" s="2" t="s">
        <v>1322</v>
      </c>
      <c r="V1434" s="2" t="s">
        <v>3025</v>
      </c>
      <c r="W1434" s="2">
        <v>2</v>
      </c>
    </row>
    <row r="1435" spans="1:23" ht="15.75" customHeight="1" x14ac:dyDescent="0.35">
      <c r="A1435" s="2" t="s">
        <v>23</v>
      </c>
      <c r="L1435" s="2">
        <v>107</v>
      </c>
      <c r="M1435" s="2" t="s">
        <v>32</v>
      </c>
      <c r="O1435" s="2" t="s">
        <v>3026</v>
      </c>
      <c r="P1435" s="2" t="str">
        <f ca="1">IFERROR(__xludf.DUMMYFUNCTION("GOOGLETRANSLATE(O1435,""en"",""bn"")"),"সুপ্রিয় দে")</f>
        <v>সুপ্রিয় দে</v>
      </c>
      <c r="Q1435" s="2" t="s">
        <v>1322</v>
      </c>
      <c r="S1435" s="2" t="s">
        <v>1322</v>
      </c>
      <c r="V1435" s="2" t="s">
        <v>3027</v>
      </c>
      <c r="W1435" s="2">
        <v>2</v>
      </c>
    </row>
    <row r="1436" spans="1:23" ht="15.75" customHeight="1" x14ac:dyDescent="0.35">
      <c r="A1436" s="2" t="s">
        <v>23</v>
      </c>
      <c r="L1436" s="2">
        <v>163</v>
      </c>
      <c r="M1436" s="2" t="s">
        <v>363</v>
      </c>
      <c r="O1436" s="2" t="s">
        <v>3028</v>
      </c>
      <c r="P1436" s="2" t="str">
        <f ca="1">IFERROR(__xludf.DUMMYFUNCTION("GOOGLETRANSLATE(O1436,""en"",""bn"")"),"তৌসিফ আহমেদ খান")</f>
        <v>তৌসিফ আহমেদ খান</v>
      </c>
      <c r="Q1436" s="2" t="s">
        <v>1322</v>
      </c>
      <c r="S1436" s="2" t="s">
        <v>1322</v>
      </c>
      <c r="V1436" s="2" t="s">
        <v>3029</v>
      </c>
      <c r="W1436" s="2">
        <v>2</v>
      </c>
    </row>
    <row r="1437" spans="1:23" ht="15.75" customHeight="1" x14ac:dyDescent="0.35">
      <c r="A1437" s="2" t="s">
        <v>23</v>
      </c>
      <c r="L1437" s="2">
        <v>147</v>
      </c>
      <c r="M1437" s="2" t="s">
        <v>265</v>
      </c>
      <c r="O1437" s="2" t="s">
        <v>3030</v>
      </c>
      <c r="P1437" s="2" t="str">
        <f ca="1">IFERROR(__xludf.DUMMYFUNCTION("GOOGLETRANSLATE(O1437,""en"",""bn"")"),"রুম্পা গাঙ্গুলী")</f>
        <v>রুম্পা গাঙ্গুলী</v>
      </c>
      <c r="Q1437" s="2" t="s">
        <v>1322</v>
      </c>
      <c r="S1437" s="2" t="s">
        <v>1322</v>
      </c>
      <c r="V1437" s="2" t="s">
        <v>3031</v>
      </c>
      <c r="W1437" s="2">
        <v>2</v>
      </c>
    </row>
    <row r="1438" spans="1:23" ht="15.75" customHeight="1" x14ac:dyDescent="0.35">
      <c r="A1438" s="2" t="s">
        <v>23</v>
      </c>
      <c r="L1438" s="2">
        <v>148</v>
      </c>
      <c r="M1438" s="2" t="s">
        <v>408</v>
      </c>
      <c r="O1438" s="2" t="s">
        <v>3032</v>
      </c>
      <c r="P1438" s="2" t="str">
        <f ca="1">IFERROR(__xludf.DUMMYFUNCTION("GOOGLETRANSLATE(O1438,""en"",""bn"")"),"মাসাদুল মোল্লা")</f>
        <v>মাসাদুল মোল্লা</v>
      </c>
      <c r="Q1438" s="2" t="s">
        <v>1322</v>
      </c>
      <c r="S1438" s="2" t="s">
        <v>1322</v>
      </c>
      <c r="V1438" s="2" t="s">
        <v>3033</v>
      </c>
      <c r="W1438" s="2">
        <v>2</v>
      </c>
    </row>
    <row r="1439" spans="1:23" ht="15.75" customHeight="1" x14ac:dyDescent="0.35">
      <c r="A1439" s="2" t="s">
        <v>23</v>
      </c>
      <c r="L1439" s="2">
        <v>154</v>
      </c>
      <c r="M1439" s="2" t="s">
        <v>136</v>
      </c>
      <c r="O1439" s="2" t="s">
        <v>3034</v>
      </c>
      <c r="P1439" s="2" t="str">
        <f ca="1">IFERROR(__xludf.DUMMYFUNCTION("GOOGLETRANSLATE(O1439,""en"",""bn"")"),"স্বপন দাস")</f>
        <v>স্বপন দাস</v>
      </c>
      <c r="Q1439" s="2" t="s">
        <v>1322</v>
      </c>
      <c r="S1439" s="2" t="s">
        <v>1322</v>
      </c>
      <c r="V1439" s="2" t="s">
        <v>3035</v>
      </c>
      <c r="W1439" s="2">
        <v>2</v>
      </c>
    </row>
    <row r="1440" spans="1:23" ht="15.75" customHeight="1" x14ac:dyDescent="0.35">
      <c r="A1440" s="2" t="s">
        <v>23</v>
      </c>
      <c r="L1440" s="2">
        <v>158</v>
      </c>
      <c r="M1440" s="2" t="s">
        <v>57</v>
      </c>
      <c r="O1440" s="2" t="s">
        <v>3036</v>
      </c>
      <c r="P1440" s="2" t="str">
        <f ca="1">IFERROR(__xludf.DUMMYFUNCTION("GOOGLETRANSLATE(O1440,""en"",""bn"")"),"শেখ সাদিক হোসেন")</f>
        <v>শেখ সাদিক হোসেন</v>
      </c>
      <c r="Q1440" s="2" t="s">
        <v>1322</v>
      </c>
      <c r="S1440" s="2" t="s">
        <v>1322</v>
      </c>
      <c r="V1440" s="2" t="s">
        <v>3037</v>
      </c>
      <c r="W1440" s="2">
        <v>2</v>
      </c>
    </row>
    <row r="1441" spans="1:23" ht="15.75" customHeight="1" x14ac:dyDescent="0.35">
      <c r="A1441" s="2" t="s">
        <v>23</v>
      </c>
      <c r="L1441" s="2">
        <v>171</v>
      </c>
      <c r="M1441" s="2" t="s">
        <v>87</v>
      </c>
      <c r="O1441" s="2" t="s">
        <v>865</v>
      </c>
      <c r="P1441" s="2" t="str">
        <f ca="1">IFERROR(__xludf.DUMMYFUNCTION("GOOGLETRANSLATE(O1441,""en"",""bn"")"),"সুব্রত মন্ডল")</f>
        <v>সুব্রত মন্ডল</v>
      </c>
      <c r="Q1441" s="2" t="s">
        <v>1322</v>
      </c>
      <c r="S1441" s="2" t="s">
        <v>1322</v>
      </c>
      <c r="V1441" s="2" t="s">
        <v>3038</v>
      </c>
      <c r="W1441" s="2">
        <v>2</v>
      </c>
    </row>
    <row r="1442" spans="1:23" ht="15.75" customHeight="1" x14ac:dyDescent="0.35">
      <c r="A1442" s="2" t="s">
        <v>23</v>
      </c>
      <c r="L1442" s="2">
        <v>148</v>
      </c>
      <c r="M1442" s="2" t="s">
        <v>408</v>
      </c>
      <c r="O1442" s="2" t="s">
        <v>3039</v>
      </c>
      <c r="P1442" s="2" t="str">
        <f ca="1">IFERROR(__xludf.DUMMYFUNCTION("GOOGLETRANSLATE(O1442,""en"",""bn"")"),"মির্জা হাসান")</f>
        <v>মির্জা হাসান</v>
      </c>
      <c r="Q1442" s="2" t="s">
        <v>1322</v>
      </c>
      <c r="S1442" s="2" t="s">
        <v>1322</v>
      </c>
      <c r="V1442" s="2" t="s">
        <v>3040</v>
      </c>
      <c r="W1442" s="2">
        <v>2</v>
      </c>
    </row>
    <row r="1443" spans="1:23" ht="15.75" customHeight="1" x14ac:dyDescent="0.35">
      <c r="A1443" s="2" t="s">
        <v>23</v>
      </c>
      <c r="L1443" s="2">
        <v>163</v>
      </c>
      <c r="M1443" s="2" t="s">
        <v>363</v>
      </c>
      <c r="O1443" s="2" t="s">
        <v>3041</v>
      </c>
      <c r="P1443" s="2" t="str">
        <f ca="1">IFERROR(__xludf.DUMMYFUNCTION("GOOGLETRANSLATE(O1443,""en"",""bn"")"),"উদয় বারুয়া")</f>
        <v>উদয় বারুয়া</v>
      </c>
      <c r="Q1443" s="2" t="s">
        <v>1322</v>
      </c>
      <c r="S1443" s="2" t="s">
        <v>1322</v>
      </c>
      <c r="V1443" s="2" t="s">
        <v>3042</v>
      </c>
      <c r="W1443" s="2">
        <v>2</v>
      </c>
    </row>
    <row r="1444" spans="1:23" ht="15.75" customHeight="1" x14ac:dyDescent="0.35">
      <c r="A1444" s="2" t="s">
        <v>23</v>
      </c>
      <c r="L1444" s="2">
        <v>107</v>
      </c>
      <c r="M1444" s="2" t="s">
        <v>32</v>
      </c>
      <c r="O1444" s="2" t="s">
        <v>3043</v>
      </c>
      <c r="P1444" s="2" t="str">
        <f ca="1">IFERROR(__xludf.DUMMYFUNCTION("GOOGLETRANSLATE(O1444,""en"",""bn"")"),"হৃদয় কান্ত পাঠক")</f>
        <v>হৃদয় কান্ত পাঠক</v>
      </c>
      <c r="Q1444" s="2" t="s">
        <v>1322</v>
      </c>
      <c r="S1444" s="2" t="s">
        <v>1322</v>
      </c>
      <c r="V1444" s="2" t="s">
        <v>3044</v>
      </c>
      <c r="W1444" s="2">
        <v>2</v>
      </c>
    </row>
    <row r="1445" spans="1:23" ht="15.75" customHeight="1" x14ac:dyDescent="0.35">
      <c r="A1445" s="2" t="s">
        <v>23</v>
      </c>
      <c r="L1445" s="2">
        <v>171</v>
      </c>
      <c r="M1445" s="2" t="s">
        <v>87</v>
      </c>
      <c r="O1445" s="2" t="s">
        <v>3045</v>
      </c>
      <c r="P1445" s="2" t="str">
        <f ca="1">IFERROR(__xludf.DUMMYFUNCTION("GOOGLETRANSLATE(O1445,""en"",""bn"")"),"সৈকত রাম")</f>
        <v>সৈকত রাম</v>
      </c>
      <c r="Q1445" s="2" t="s">
        <v>1322</v>
      </c>
      <c r="S1445" s="2" t="s">
        <v>1322</v>
      </c>
      <c r="V1445" s="2" t="s">
        <v>3046</v>
      </c>
      <c r="W1445" s="2">
        <v>2</v>
      </c>
    </row>
    <row r="1446" spans="1:23" ht="15.75" customHeight="1" x14ac:dyDescent="0.35">
      <c r="A1446" s="2" t="s">
        <v>23</v>
      </c>
      <c r="L1446" s="2">
        <v>148</v>
      </c>
      <c r="M1446" s="2" t="s">
        <v>408</v>
      </c>
      <c r="O1446" s="2" t="s">
        <v>3047</v>
      </c>
      <c r="P1446" s="2" t="str">
        <f ca="1">IFERROR(__xludf.DUMMYFUNCTION("GOOGLETRANSLATE(O1446,""en"",""bn"")"),"এমডি মীর সামসুদ্দিন")</f>
        <v>এমডি মীর সামসুদ্দিন</v>
      </c>
      <c r="Q1446" s="2" t="s">
        <v>1322</v>
      </c>
      <c r="S1446" s="2" t="s">
        <v>1322</v>
      </c>
      <c r="V1446" s="2" t="s">
        <v>3048</v>
      </c>
      <c r="W1446" s="2">
        <v>2</v>
      </c>
    </row>
    <row r="1447" spans="1:23" ht="15.75" customHeight="1" x14ac:dyDescent="0.35">
      <c r="A1447" s="2" t="s">
        <v>23</v>
      </c>
      <c r="L1447" s="2">
        <v>148</v>
      </c>
      <c r="M1447" s="2" t="s">
        <v>408</v>
      </c>
      <c r="O1447" s="2" t="s">
        <v>3049</v>
      </c>
      <c r="P1447" s="2" t="str">
        <f ca="1">IFERROR(__xludf.DUMMYFUNCTION("GOOGLETRANSLATE(O1447,""en"",""bn"")"),"এমডি মোমতাজুর রহমান মোল্লা")</f>
        <v>এমডি মোমতাজুর রহমান মোল্লা</v>
      </c>
      <c r="Q1447" s="2" t="s">
        <v>1322</v>
      </c>
      <c r="S1447" s="2" t="s">
        <v>1322</v>
      </c>
      <c r="V1447" s="2" t="s">
        <v>3050</v>
      </c>
      <c r="W1447" s="2">
        <v>2</v>
      </c>
    </row>
    <row r="1448" spans="1:23" ht="15.75" customHeight="1" x14ac:dyDescent="0.35">
      <c r="A1448" s="2" t="s">
        <v>23</v>
      </c>
      <c r="L1448" s="2">
        <v>148</v>
      </c>
      <c r="M1448" s="2" t="s">
        <v>408</v>
      </c>
      <c r="O1448" s="2" t="s">
        <v>3051</v>
      </c>
      <c r="P1448" s="2" t="str">
        <f ca="1">IFERROR(__xludf.DUMMYFUNCTION("GOOGLETRANSLATE(O1448,""en"",""bn"")"),"এমডি রবিউল ইসলাম গাজী")</f>
        <v>এমডি রবিউল ইসলাম গাজী</v>
      </c>
      <c r="Q1448" s="2" t="s">
        <v>1322</v>
      </c>
      <c r="S1448" s="2" t="s">
        <v>1322</v>
      </c>
      <c r="V1448" s="2" t="s">
        <v>3052</v>
      </c>
      <c r="W1448" s="2">
        <v>2</v>
      </c>
    </row>
    <row r="1449" spans="1:23" ht="15.75" customHeight="1" x14ac:dyDescent="0.35">
      <c r="A1449" s="2" t="s">
        <v>23</v>
      </c>
      <c r="L1449" s="2">
        <v>148</v>
      </c>
      <c r="M1449" s="2" t="s">
        <v>408</v>
      </c>
      <c r="O1449" s="2" t="s">
        <v>3053</v>
      </c>
      <c r="P1449" s="2" t="str">
        <f ca="1">IFERROR(__xludf.DUMMYFUNCTION("GOOGLETRANSLATE(O1449,""en"",""bn"")"),"রাজিব আহমেদ")</f>
        <v>রাজিব আহমেদ</v>
      </c>
      <c r="Q1449" s="2" t="s">
        <v>1322</v>
      </c>
      <c r="S1449" s="2" t="s">
        <v>1322</v>
      </c>
      <c r="V1449" s="2" t="s">
        <v>3054</v>
      </c>
      <c r="W1449" s="2">
        <v>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 Rao</cp:lastModifiedBy>
  <dcterms:modified xsi:type="dcterms:W3CDTF">2026-04-18T09:04:45Z</dcterms:modified>
</cp:coreProperties>
</file>